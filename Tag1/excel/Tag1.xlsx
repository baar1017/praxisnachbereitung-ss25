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LocalThingsOfLife\HKA\Praxisnachbereitung\the_repo\praxisnachbereitung-ss25\Tag1\"/>
    </mc:Choice>
  </mc:AlternateContent>
  <xr:revisionPtr revIDLastSave="0" documentId="13_ncr:1_{140EEEBD-FE32-44E8-B655-DD6EA382D961}" xr6:coauthVersionLast="47" xr6:coauthVersionMax="47" xr10:uidLastSave="{00000000-0000-0000-0000-000000000000}"/>
  <bookViews>
    <workbookView xWindow="-109" yWindow="-109" windowWidth="26301" windowHeight="14169" activeTab="1" xr2:uid="{00000000-000D-0000-FFFF-FFFF00000000}"/>
  </bookViews>
  <sheets>
    <sheet name="Tabelle5" sheetId="12" r:id="rId1"/>
    <sheet name="Tabelle8" sheetId="15" r:id="rId2"/>
    <sheet name="Ausleihen" sheetId="2" r:id="rId3"/>
    <sheet name="Tabelle6" sheetId="13" r:id="rId4"/>
    <sheet name="Tabelle7" sheetId="14" r:id="rId5"/>
    <sheet name="Geraete" sheetId="6" r:id="rId6"/>
    <sheet name="Mitarbeiter" sheetId="4" r:id="rId7"/>
    <sheet name="Tabelle4" sheetId="11" r:id="rId8"/>
    <sheet name="Tabelle3" sheetId="9" r:id="rId9"/>
    <sheet name="Geraete_Mitarbeiter_ID" sheetId="3" r:id="rId10"/>
    <sheet name="Tabelle2" sheetId="8" r:id="rId11"/>
    <sheet name="Tabelle1" sheetId="7" r:id="rId12"/>
  </sheets>
  <definedNames>
    <definedName name="_xlcn.WorksheetConnection_Tag1.xlsxGeraete__31" hidden="1">Geraete__3[]</definedName>
    <definedName name="_xlcn.WorksheetConnection_Tag1.xlsxGeraete1" hidden="1">Geraete[]</definedName>
    <definedName name="ExterneDaten_1" localSheetId="2" hidden="1">Ausleihen!$A$1:$D$47</definedName>
    <definedName name="ExterneDaten_1" localSheetId="9" hidden="1">Geraete_Mitarbeiter_ID!$A$1:$G$59</definedName>
    <definedName name="ExterneDaten_1" localSheetId="6" hidden="1">Mitarbeiter!$A$1:$D$13</definedName>
    <definedName name="ExterneDaten_2" localSheetId="5" hidden="1">Geraete!$A$1:$F$37</definedName>
  </definedNames>
  <calcPr calcId="191029"/>
  <pivotCaches>
    <pivotCache cacheId="16" r:id="rId13"/>
    <pivotCache cacheId="25" r:id="rId14"/>
    <pivotCache cacheId="24" r:id="rId15"/>
    <pivotCache cacheId="30" r:id="rId16"/>
    <pivotCache cacheId="35" r:id="rId1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Geraete__3" name="Geraete__3" connection="WorksheetConnection_Tag1.xlsx!Geraete__3"/>
          <x15:modelTable id="Geraete" name="Geraete" connection="WorksheetConnection_Tag1.xlsx!Geraet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2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2" i="6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K2" i="6" a="1"/>
  <c r="K2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1A0B0B-25DA-4E3B-9881-DB6866623856}" keepAlive="1" name="Abfrage - Ausleihen" description="Verbindung mit der Abfrage 'Ausleihen' in der Arbeitsmappe." type="5" refreshedVersion="8" background="1" saveData="1">
    <dbPr connection="Provider=Microsoft.Mashup.OleDb.1;Data Source=$Workbook$;Location=Ausleihen;Extended Properties=&quot;&quot;" command="SELECT * FROM [Ausleihen]"/>
  </connection>
  <connection id="2" xr16:uid="{C41DF116-E722-4075-BA9B-D2CED750318D}" keepAlive="1" name="Abfrage - Geraete" description="Verbindung mit der Abfrage 'Geraete' in der Arbeitsmappe." type="5" refreshedVersion="8" background="1" saveData="1">
    <dbPr connection="Provider=Microsoft.Mashup.OleDb.1;Data Source=$Workbook$;Location=Geraete;Extended Properties=&quot;&quot;" command="SELECT * FROM [Geraete]"/>
  </connection>
  <connection id="3" xr16:uid="{D48C1753-0318-4860-9771-90DBD7E5CFB5}" keepAlive="1" name="Abfrage - Geraete (2)" description="Verbindung mit der Abfrage 'Geraete (2)' in der Arbeitsmappe." type="5" refreshedVersion="8" background="1" saveData="1">
    <dbPr connection="Provider=Microsoft.Mashup.OleDb.1;Data Source=$Workbook$;Location=&quot;Geraete (2)&quot;;Extended Properties=&quot;&quot;" command="SELECT * FROM [Geraete (2)]"/>
  </connection>
  <connection id="4" xr16:uid="{7CA08214-510B-49F3-9EDB-DBE6812DF1A3}" keepAlive="1" name="Abfrage - Geraete (3)" description="Verbindung mit der Abfrage 'Geraete (3)' in der Arbeitsmappe." type="5" refreshedVersion="8" background="1" saveData="1">
    <dbPr connection="Provider=Microsoft.Mashup.OleDb.1;Data Source=$Workbook$;Location=&quot;Geraete (3)&quot;;Extended Properties=&quot;&quot;" command="SELECT * FROM [Geraete (3)]"/>
  </connection>
  <connection id="5" xr16:uid="{EBE0C3CC-9BF1-4A4F-A4B0-F6959BAB3171}" keepAlive="1" name="Abfrage - Mitarbeiter" description="Verbindung mit der Abfrage 'Mitarbeiter' in der Arbeitsmappe." type="5" refreshedVersion="8" background="1" saveData="1">
    <dbPr connection="Provider=Microsoft.Mashup.OleDb.1;Data Source=$Workbook$;Location=Mitarbeiter;Extended Properties=&quot;&quot;" command="SELECT * FROM [Mitarbeiter]"/>
  </connection>
  <connection id="6" xr16:uid="{1A9AB039-192D-4362-AED5-E1042615500B}" keepAlive="1" name="ThisWorkbookDataModel" description="Datenmodel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EDE2D552-30C5-4F9E-B3E6-9F286E2D7878}" name="WorksheetConnection_Tag1.xlsx!Geraete" type="102" refreshedVersion="8" minRefreshableVersion="5">
    <extLst>
      <ext xmlns:x15="http://schemas.microsoft.com/office/spreadsheetml/2010/11/main" uri="{DE250136-89BD-433C-8126-D09CA5730AF9}">
        <x15:connection id="Geraete">
          <x15:rangePr sourceName="_xlcn.WorksheetConnection_Tag1.xlsxGeraete1"/>
        </x15:connection>
      </ext>
    </extLst>
  </connection>
  <connection id="8" xr16:uid="{3FA1321D-3BDD-4820-81F9-60276C89A663}" name="WorksheetConnection_Tag1.xlsx!Geraete__3" type="102" refreshedVersion="8" minRefreshableVersion="5">
    <extLst>
      <ext xmlns:x15="http://schemas.microsoft.com/office/spreadsheetml/2010/11/main" uri="{DE250136-89BD-433C-8126-D09CA5730AF9}">
        <x15:connection id="Geraete__3" autoDelete="1">
          <x15:rangePr sourceName="_xlcn.WorksheetConnection_Tag1.xlsxGeraete__3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<sst xmlns="http://schemas.openxmlformats.org/spreadsheetml/2006/main" count="511" uniqueCount="95">
  <si>
    <t>Gerätenummer</t>
  </si>
  <si>
    <t>Mitarbeiter-ID</t>
  </si>
  <si>
    <t>Ausgabe am</t>
  </si>
  <si>
    <t>Rückgabe am</t>
  </si>
  <si>
    <t>G0035</t>
  </si>
  <si>
    <t>G0021</t>
  </si>
  <si>
    <t>G0024</t>
  </si>
  <si>
    <t>G0016</t>
  </si>
  <si>
    <t>G0006</t>
  </si>
  <si>
    <t>G0005</t>
  </si>
  <si>
    <t>G0009</t>
  </si>
  <si>
    <t>G0011</t>
  </si>
  <si>
    <t>G0028</t>
  </si>
  <si>
    <t>G0013</t>
  </si>
  <si>
    <t>G0029</t>
  </si>
  <si>
    <t>G0015</t>
  </si>
  <si>
    <t>G0022</t>
  </si>
  <si>
    <t>G0018</t>
  </si>
  <si>
    <t>G0031</t>
  </si>
  <si>
    <t>G0027</t>
  </si>
  <si>
    <t>G0030</t>
  </si>
  <si>
    <t>G0007</t>
  </si>
  <si>
    <t>G0004</t>
  </si>
  <si>
    <t>G0025</t>
  </si>
  <si>
    <t>G0032</t>
  </si>
  <si>
    <t>G0014</t>
  </si>
  <si>
    <t>G0033</t>
  </si>
  <si>
    <t/>
  </si>
  <si>
    <t>Gerätetyp</t>
  </si>
  <si>
    <t>Modell</t>
  </si>
  <si>
    <t>Kaufdatum</t>
  </si>
  <si>
    <t>Netto-Kaufpreis</t>
  </si>
  <si>
    <t>Standort</t>
  </si>
  <si>
    <t>G0001</t>
  </si>
  <si>
    <t>Tablet</t>
  </si>
  <si>
    <t>Galaxy Tab</t>
  </si>
  <si>
    <t>Berlin</t>
  </si>
  <si>
    <t>G0002</t>
  </si>
  <si>
    <t>Surface Go</t>
  </si>
  <si>
    <t>München</t>
  </si>
  <si>
    <t>G0003</t>
  </si>
  <si>
    <t>iPad</t>
  </si>
  <si>
    <t>Laptop</t>
  </si>
  <si>
    <t>Dell XPS</t>
  </si>
  <si>
    <t>Drucker</t>
  </si>
  <si>
    <t>Canon Pixma</t>
  </si>
  <si>
    <t>Smartphone</t>
  </si>
  <si>
    <t>Samsung S21</t>
  </si>
  <si>
    <t>Lenovo ThinkPad</t>
  </si>
  <si>
    <t>Hamburg</t>
  </si>
  <si>
    <t>G0008</t>
  </si>
  <si>
    <t>Beamer</t>
  </si>
  <si>
    <t>Epson EB</t>
  </si>
  <si>
    <t>G0010</t>
  </si>
  <si>
    <t>Brother HL</t>
  </si>
  <si>
    <t>G0012</t>
  </si>
  <si>
    <t>iPhone 13</t>
  </si>
  <si>
    <t>G0017</t>
  </si>
  <si>
    <t>G0019</t>
  </si>
  <si>
    <t>HP LaserJet</t>
  </si>
  <si>
    <t>G0020</t>
  </si>
  <si>
    <t>Monitor</t>
  </si>
  <si>
    <t>Samsung Curved</t>
  </si>
  <si>
    <t>G0023</t>
  </si>
  <si>
    <t>Dell UltraSharp</t>
  </si>
  <si>
    <t>G0026</t>
  </si>
  <si>
    <t>HP EliteBook</t>
  </si>
  <si>
    <t>BenQ MW550</t>
  </si>
  <si>
    <t>G0034</t>
  </si>
  <si>
    <t>Name</t>
  </si>
  <si>
    <t>Abteilung</t>
  </si>
  <si>
    <t>Aleksandr Weinhage</t>
  </si>
  <si>
    <t>IT</t>
  </si>
  <si>
    <t>Eleni Hauffer</t>
  </si>
  <si>
    <t>Paul Dobes-Stiffel</t>
  </si>
  <si>
    <t>Produktion</t>
  </si>
  <si>
    <t>Klemens Löffler</t>
  </si>
  <si>
    <t>Vertrieb</t>
  </si>
  <si>
    <t>Alexandre Davids</t>
  </si>
  <si>
    <t>Eric Patberg B.Sc.</t>
  </si>
  <si>
    <t>Orhan Siering MBA.</t>
  </si>
  <si>
    <t>Dipl.-Ing. Klaus-Werner Holsten B.Sc.</t>
  </si>
  <si>
    <t>Univ.Prof. Heimo Karge</t>
  </si>
  <si>
    <t>Marketing</t>
  </si>
  <si>
    <t>Carolin Hande</t>
  </si>
  <si>
    <t>Auguste Davids</t>
  </si>
  <si>
    <t>Ariane Klemt-Kaul</t>
  </si>
  <si>
    <t>Ausleihen.Mitarbeiter-ID</t>
  </si>
  <si>
    <t>Summe von Netto-Kaufpreis</t>
  </si>
  <si>
    <t>(Alle)</t>
  </si>
  <si>
    <t>(Mehrere Elemente)</t>
  </si>
  <si>
    <t>Zeilenbeschriftungen</t>
  </si>
  <si>
    <t>Gesamtergebnis</t>
  </si>
  <si>
    <t>Anzahl von Gerätenummer</t>
  </si>
  <si>
    <t>Spaltenbeschriftungen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</si>
</sst>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\ &quot;€&quot;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Standard" xfId="0" builtinId="0"/>
  </cellStyles>
  <dxfs count="25">
    <dxf>
      <numFmt numFmtId="168" formatCode="#,##0.00\ &quot;€&quot;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powerPivotData" Target="model/item.data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[Tag1.xlsx]Tabelle8!PivotTable8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Tabelle8!$B$3:$B$4</c:f>
              <c:strCache>
                <c:ptCount val="1"/>
                <c:pt idx="0">
                  <c:v>Berlin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Tabelle8!$A$5:$A$11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Tabelle8!$B$5:$B$11</c:f>
              <c:numCache>
                <c:formatCode>General</c:formatCode>
                <c:ptCount val="6"/>
                <c:pt idx="0">
                  <c:v>7</c:v>
                </c:pt>
                <c:pt idx="1">
                  <c:v>9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0E-4E32-AF2E-951EBECB5101}"/>
            </c:ext>
          </c:extLst>
        </c:ser>
        <c:ser>
          <c:idx val="1"/>
          <c:order val="1"/>
          <c:tx>
            <c:strRef>
              <c:f>Tabelle8!$C$3:$C$4</c:f>
              <c:strCache>
                <c:ptCount val="1"/>
                <c:pt idx="0">
                  <c:v>Hamburg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Tabelle8!$A$5:$A$11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Tabelle8!$C$5:$C$11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0E-4E32-AF2E-951EBECB5101}"/>
            </c:ext>
          </c:extLst>
        </c:ser>
        <c:ser>
          <c:idx val="2"/>
          <c:order val="2"/>
          <c:tx>
            <c:strRef>
              <c:f>Tabelle8!$D$3:$D$4</c:f>
              <c:strCache>
                <c:ptCount val="1"/>
                <c:pt idx="0">
                  <c:v>München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Tabelle8!$A$5:$A$11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Tabelle8!$D$5:$D$11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6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0E-4E32-AF2E-951EBECB5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5081199"/>
        <c:axId val="445082159"/>
      </c:barChart>
      <c:catAx>
        <c:axId val="44508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45082159"/>
        <c:crosses val="autoZero"/>
        <c:auto val="1"/>
        <c:lblAlgn val="ctr"/>
        <c:lblOffset val="100"/>
        <c:noMultiLvlLbl val="0"/>
      </c:catAx>
      <c:valAx>
        <c:axId val="44508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4508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[Tag1.xlsx]Tabelle8!PivotTable8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Tabelle8!$B$3:$B$4</c:f>
              <c:strCache>
                <c:ptCount val="1"/>
                <c:pt idx="0">
                  <c:v>Berlin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Tabelle8!$A$5:$A$11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Tabelle8!$B$5:$B$11</c:f>
              <c:numCache>
                <c:formatCode>General</c:formatCode>
                <c:ptCount val="6"/>
                <c:pt idx="0">
                  <c:v>7</c:v>
                </c:pt>
                <c:pt idx="1">
                  <c:v>9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34-4416-A0A9-5A0F6004EEB0}"/>
            </c:ext>
          </c:extLst>
        </c:ser>
        <c:ser>
          <c:idx val="1"/>
          <c:order val="1"/>
          <c:tx>
            <c:strRef>
              <c:f>Tabelle8!$C$3:$C$4</c:f>
              <c:strCache>
                <c:ptCount val="1"/>
                <c:pt idx="0">
                  <c:v>Hamburg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Tabelle8!$A$5:$A$11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Tabelle8!$C$5:$C$11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34-4416-A0A9-5A0F6004EEB0}"/>
            </c:ext>
          </c:extLst>
        </c:ser>
        <c:ser>
          <c:idx val="2"/>
          <c:order val="2"/>
          <c:tx>
            <c:strRef>
              <c:f>Tabelle8!$D$3:$D$4</c:f>
              <c:strCache>
                <c:ptCount val="1"/>
                <c:pt idx="0">
                  <c:v>München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Tabelle8!$A$5:$A$11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Tabelle8!$D$5:$D$11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6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34-4416-A0A9-5A0F6004E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8014127"/>
        <c:axId val="318013167"/>
      </c:barChart>
      <c:catAx>
        <c:axId val="31801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18013167"/>
        <c:crosses val="autoZero"/>
        <c:auto val="1"/>
        <c:lblAlgn val="ctr"/>
        <c:lblOffset val="100"/>
        <c:noMultiLvlLbl val="0"/>
      </c:catAx>
      <c:valAx>
        <c:axId val="31801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18014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185466</xdr:colOff>
      <xdr:row>3</xdr:row>
      <xdr:rowOff>168215</xdr:rowOff>
    </xdr:from>
    <xdr:to>
      <xdr:col>12</xdr:col>
      <xdr:colOff>202720</xdr:colOff>
      <xdr:row>19</xdr:row>
      <xdr:rowOff>12939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B5C0FC8-5AD5-FA5F-A02D-710D6E5BA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823822</xdr:colOff>
      <xdr:row>13</xdr:row>
      <xdr:rowOff>21566</xdr:rowOff>
    </xdr:from>
    <xdr:to>
      <xdr:col>4</xdr:col>
      <xdr:colOff>944592</xdr:colOff>
      <xdr:row>28</xdr:row>
      <xdr:rowOff>47445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9DC9D984-4454-52E7-B977-F934C980FB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turo Barreda Morales" refreshedDate="45969.624178124999" backgroundQuery="1" createdVersion="8" refreshedVersion="8" minRefreshableVersion="3" recordCount="0" supportSubquery="1" supportAdvancedDrill="1" xr:uid="{35AF51A7-D3C2-480A-B408-CB522CF22C66}">
  <cacheSource type="external" connectionId="6"/>
  <cacheFields count="1">
    <cacheField name="[Measures].[Summe von Netto-Kaufpreis]" caption="Summe von Netto-Kaufpreis" numFmtId="0" hierarchy="16" level="32767"/>
  </cacheFields>
  <cacheHierarchies count="17">
    <cacheHierarchy uniqueName="[Geraete].[Gerätenummer]" caption="Gerätenummer" attribute="1" defaultMemberUniqueName="[Geraete].[Gerätenummer].[All]" allUniqueName="[Geraete].[Gerätenummer].[All]" dimensionUniqueName="[Geraete]" displayFolder="" count="0" memberValueDatatype="130" unbalanced="0"/>
    <cacheHierarchy uniqueName="[Geraete].[Gerätetyp]" caption="Gerätetyp" attribute="1" defaultMemberUniqueName="[Geraete].[Gerätetyp].[All]" allUniqueName="[Geraete].[Gerätetyp].[All]" dimensionUniqueName="[Geraete]" displayFolder="" count="0" memberValueDatatype="130" unbalanced="0"/>
    <cacheHierarchy uniqueName="[Geraete].[Modell]" caption="Modell" attribute="1" defaultMemberUniqueName="[Geraete].[Modell].[All]" allUniqueName="[Geraete].[Modell].[All]" dimensionUniqueName="[Geraete]" displayFolder="" count="0" memberValueDatatype="130" unbalanced="0"/>
    <cacheHierarchy uniqueName="[Geraete].[Kaufdatum]" caption="Kaufdatum" attribute="1" time="1" defaultMemberUniqueName="[Geraete].[Kaufdatum].[All]" allUniqueName="[Geraete].[Kaufdatum].[All]" dimensionUniqueName="[Geraete]" displayFolder="" count="0" memberValueDatatype="7" unbalanced="0"/>
    <cacheHierarchy uniqueName="[Geraete].[Netto-Kaufpreis]" caption="Netto-Kaufpreis" attribute="1" defaultMemberUniqueName="[Geraete].[Netto-Kaufpreis].[All]" allUniqueName="[Geraete].[Netto-Kaufpreis].[All]" dimensionUniqueName="[Geraete]" displayFolder="" count="0" memberValueDatatype="20" unbalanced="0"/>
    <cacheHierarchy uniqueName="[Geraete].[Standort]" caption="Standort" attribute="1" defaultMemberUniqueName="[Geraete].[Standort].[All]" allUniqueName="[Geraete].[Standort].[All]" dimensionUniqueName="[Geraete]" displayFolder="" count="0" memberValueDatatype="130" unbalanced="0"/>
    <cacheHierarchy uniqueName="[Geraete].[Ausleihen.Mitarbeiter-ID]" caption="Ausleihen.Mitarbeiter-ID" attribute="1" defaultMemberUniqueName="[Geraete].[Ausleihen.Mitarbeiter-ID].[All]" allUniqueName="[Geraete].[Ausleihen.Mitarbeiter-ID].[All]" dimensionUniqueName="[Geraete]" displayFolder="" count="0" memberValueDatatype="20" unbalanced="0"/>
    <cacheHierarchy uniqueName="[Geraete__3].[Gerätenummer]" caption="Gerätenummer" attribute="1" defaultMemberUniqueName="[Geraete__3].[Gerätenummer].[All]" allUniqueName="[Geraete__3].[Gerätenummer].[All]" dimensionUniqueName="[Geraete__3]" displayFolder="" count="0" memberValueDatatype="130" unbalanced="0"/>
    <cacheHierarchy uniqueName="[Geraete__3].[Gerätetyp]" caption="Gerätetyp" attribute="1" defaultMemberUniqueName="[Geraete__3].[Gerätetyp].[All]" allUniqueName="[Geraete__3].[Gerätetyp].[All]" dimensionUniqueName="[Geraete__3]" displayFolder="" count="0" memberValueDatatype="130" unbalanced="0"/>
    <cacheHierarchy uniqueName="[Geraete__3].[Modell]" caption="Modell" attribute="1" defaultMemberUniqueName="[Geraete__3].[Modell].[All]" allUniqueName="[Geraete__3].[Modell].[All]" dimensionUniqueName="[Geraete__3]" displayFolder="" count="0" memberValueDatatype="130" unbalanced="0"/>
    <cacheHierarchy uniqueName="[Geraete__3].[Kaufdatum]" caption="Kaufdatum" attribute="1" time="1" defaultMemberUniqueName="[Geraete__3].[Kaufdatum].[All]" allUniqueName="[Geraete__3].[Kaufdatum].[All]" dimensionUniqueName="[Geraete__3]" displayFolder="" count="0" memberValueDatatype="7" unbalanced="0"/>
    <cacheHierarchy uniqueName="[Geraete__3].[Netto-Kaufpreis]" caption="Netto-Kaufpreis" attribute="1" defaultMemberUniqueName="[Geraete__3].[Netto-Kaufpreis].[All]" allUniqueName="[Geraete__3].[Netto-Kaufpreis].[All]" dimensionUniqueName="[Geraete__3]" displayFolder="" count="0" memberValueDatatype="20" unbalanced="0"/>
    <cacheHierarchy uniqueName="[Geraete__3].[Standort]" caption="Standort" attribute="1" defaultMemberUniqueName="[Geraete__3].[Standort].[All]" allUniqueName="[Geraete__3].[Standort].[All]" dimensionUniqueName="[Geraete__3]" displayFolder="" count="0" memberValueDatatype="130" unbalanced="0"/>
    <cacheHierarchy uniqueName="[Measures].[__XL_Count Geraete__3]" caption="__XL_Count Geraete__3" measure="1" displayFolder="" measureGroup="Geraete__3" count="0" hidden="1"/>
    <cacheHierarchy uniqueName="[Measures].[__XL_Count Geraete]" caption="__XL_Count Geraete" measure="1" displayFolder="" measureGroup="Geraete" count="0" hidden="1"/>
    <cacheHierarchy uniqueName="[Measures].[__No measures defined]" caption="__No measures defined" measure="1" displayFolder="" count="0" hidden="1"/>
    <cacheHierarchy uniqueName="[Measures].[Summe von Netto-Kaufpreis]" caption="Summe von Netto-Kaufpreis" measure="1" displayFolder="" measureGroup="Geraet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3">
    <dimension name="Geraete" uniqueName="[Geraete]" caption="Geraete"/>
    <dimension name="Geraete__3" uniqueName="[Geraete__3]" caption="Geraete__3"/>
    <dimension measure="1" name="Measures" uniqueName="[Measures]" caption="Measures"/>
  </dimensions>
  <measureGroups count="2">
    <measureGroup name="Geraete" caption="Geraete"/>
    <measureGroup name="Geraete__3" caption="Geraete__3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uro Barreda Morales" refreshedDate="45969.624178124999" createdVersion="8" refreshedVersion="8" minRefreshableVersion="3" recordCount="35" xr:uid="{D338965E-298D-4F77-B77B-52F2F883C2FE}">
  <cacheSource type="worksheet">
    <worksheetSource name="Geraete__3"/>
  </cacheSource>
  <cacheFields count="6">
    <cacheField name="Gerätenummer" numFmtId="0">
      <sharedItems/>
    </cacheField>
    <cacheField name="Gerätetyp" numFmtId="0">
      <sharedItems/>
    </cacheField>
    <cacheField name="Modell" numFmtId="0">
      <sharedItems/>
    </cacheField>
    <cacheField name="Kaufdatum" numFmtId="14">
      <sharedItems containsSemiMixedTypes="0" containsNonDate="0" containsDate="1" containsString="0" minDate="2021-02-23T00:00:00" maxDate="2025-09-10T00:00:00"/>
    </cacheField>
    <cacheField name="Netto-Kaufpreis" numFmtId="0">
      <sharedItems containsSemiMixedTypes="0" containsString="0" containsNumber="1" containsInteger="1" minValue="7402" maxValue="193154"/>
    </cacheField>
    <cacheField name="Standor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uro Barreda Morales" refreshedDate="45969.624376851854" createdVersion="8" refreshedVersion="8" minRefreshableVersion="3" recordCount="46" xr:uid="{2C1C77D2-DCDE-4D4C-B389-FC755FB086DB}">
  <cacheSource type="worksheet">
    <worksheetSource name="Ausleihen"/>
  </cacheSource>
  <cacheFields count="4">
    <cacheField name="Gerätenummer" numFmtId="0">
      <sharedItems/>
    </cacheField>
    <cacheField name="Mitarbeiter-ID" numFmtId="0">
      <sharedItems containsString="0" containsBlank="1" containsNumber="1" containsInteger="1" minValue="1001" maxValue="1012"/>
    </cacheField>
    <cacheField name="Ausgabe am" numFmtId="14">
      <sharedItems containsNonDate="0" containsDate="1" containsString="0" containsBlank="1" minDate="2023-12-01T00:00:00" maxDate="2025-10-01T00:00:00"/>
    </cacheField>
    <cacheField name="Rückgabe am" numFmtId="14">
      <sharedItems containsNonDate="0" containsDate="1" containsString="0" containsBlank="1" minDate="2024-06-27T00:00:00" maxDate="2025-10-06T00:00:00" count="30">
        <m/>
        <d v="2025-10-05T00:00:00"/>
        <d v="2025-07-30T00:00:00"/>
        <d v="2025-06-10T00:00:00"/>
        <d v="2025-07-15T00:00:00"/>
        <d v="2025-08-29T00:00:00"/>
        <d v="2024-06-27T00:00:00"/>
        <d v="2025-10-04T00:00:00"/>
        <d v="2025-09-22T00:00:00"/>
        <d v="2025-08-17T00:00:00"/>
        <d v="2025-09-30T00:00:00"/>
        <d v="2024-11-27T00:00:00"/>
        <d v="2025-07-01T00:00:00"/>
        <d v="2025-03-16T00:00:00"/>
        <d v="2025-09-05T00:00:00"/>
        <d v="2025-07-16T00:00:00"/>
        <d v="2025-01-06T00:00:00"/>
        <d v="2025-02-26T00:00:00"/>
        <d v="2024-12-04T00:00:00"/>
        <d v="2025-05-31T00:00:00"/>
        <d v="2025-06-09T00:00:00"/>
        <d v="2025-09-08T00:00:00"/>
        <d v="2024-09-24T00:00:00"/>
        <d v="2025-08-02T00:00:00"/>
        <d v="2025-03-03T00:00:00"/>
        <d v="2025-08-12T00:00:00"/>
        <d v="2025-05-07T00:00:00"/>
        <d v="2025-09-25T00:00:00"/>
        <d v="2025-07-08T00:00:00"/>
        <d v="2025-10-02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uro Barreda Morales" refreshedDate="45969.66261608796" createdVersion="8" refreshedVersion="8" minRefreshableVersion="3" recordCount="35" xr:uid="{333D72D2-B990-4E0D-BA2F-BC68518AA718}">
  <cacheSource type="worksheet">
    <worksheetSource ref="A1:I36" sheet="Geraete"/>
  </cacheSource>
  <cacheFields count="9">
    <cacheField name="Gerätenummer" numFmtId="0">
      <sharedItems/>
    </cacheField>
    <cacheField name="Gerätetyp" numFmtId="0">
      <sharedItems count="6">
        <s v="Tablet"/>
        <s v="Laptop"/>
        <s v="Drucker"/>
        <s v="Smartphone"/>
        <s v="Beamer"/>
        <s v="Monitor"/>
      </sharedItems>
    </cacheField>
    <cacheField name="Modell" numFmtId="0">
      <sharedItems/>
    </cacheField>
    <cacheField name="Kaufdatum" numFmtId="14">
      <sharedItems containsSemiMixedTypes="0" containsNonDate="0" containsDate="1" containsString="0" minDate="2021-02-23T00:00:00" maxDate="2025-09-10T00:00:00"/>
    </cacheField>
    <cacheField name="Netto-Kaufpreis" numFmtId="0">
      <sharedItems containsSemiMixedTypes="0" containsString="0" containsNumber="1" containsInteger="1" minValue="7402" maxValue="193154"/>
    </cacheField>
    <cacheField name="Standort" numFmtId="0">
      <sharedItems/>
    </cacheField>
    <cacheField name="Mitarbeiter-ID" numFmtId="0">
      <sharedItems containsMixedTypes="1" containsNumber="1" containsInteger="1" minValue="1001" maxValue="1012"/>
    </cacheField>
    <cacheField name="Ausgabe am" numFmtId="14">
      <sharedItems containsDate="1" containsMixedTypes="1" minDate="2024-01-29T00:00:00" maxDate="2025-10-01T00:00:00"/>
    </cacheField>
    <cacheField name="Rückgabe am" numFmtId="14">
      <sharedItems containsDate="1" containsMixedTypes="1" minDate="1899-12-30T00:00:00" maxDate="2025-10-06T00:00:00" count="19">
        <s v=""/>
        <d v="2025-09-08T00:00:00"/>
        <d v="1899-12-30T00:00:00"/>
        <d v="2025-06-10T00:00:00"/>
        <d v="2025-07-16T00:00:00"/>
        <d v="2025-07-15T00:00:00"/>
        <d v="2025-08-29T00:00:00"/>
        <d v="2024-06-27T00:00:00"/>
        <d v="2025-03-03T00:00:00"/>
        <d v="2025-08-17T00:00:00"/>
        <d v="2024-11-27T00:00:00"/>
        <d v="2025-10-05T00:00:00"/>
        <d v="2025-09-30T00:00:00"/>
        <d v="2025-07-30T00:00:00"/>
        <d v="2025-07-01T00:00:00"/>
        <d v="2025-10-04T00:00:00"/>
        <d v="2025-09-05T00:00:00"/>
        <d v="2025-08-02T00:00:00"/>
        <d v="2025-05-07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uro Barreda Morales" refreshedDate="45969.666132407408" createdVersion="8" refreshedVersion="8" minRefreshableVersion="3" recordCount="45" xr:uid="{A018BCAA-195E-4912-A7A6-43F9CA9297F4}">
  <cacheSource type="worksheet">
    <worksheetSource ref="A1:I46" sheet="Ausleihen"/>
  </cacheSource>
  <cacheFields count="9">
    <cacheField name="Gerätenummer" numFmtId="0">
      <sharedItems/>
    </cacheField>
    <cacheField name="Mitarbeiter-ID" numFmtId="0">
      <sharedItems containsSemiMixedTypes="0" containsString="0" containsNumber="1" containsInteger="1" minValue="1001" maxValue="1012"/>
    </cacheField>
    <cacheField name="Ausgabe am" numFmtId="14">
      <sharedItems containsSemiMixedTypes="0" containsNonDate="0" containsDate="1" containsString="0" minDate="2023-12-01T00:00:00" maxDate="2025-10-01T00:00:00"/>
    </cacheField>
    <cacheField name="Rückgabe am" numFmtId="14">
      <sharedItems containsNonDate="0" containsDate="1" containsString="0" containsBlank="1" minDate="2024-06-27T00:00:00" maxDate="2025-10-06T00:00:00"/>
    </cacheField>
    <cacheField name="Gerätetyp" numFmtId="0">
      <sharedItems count="6">
        <s v="Beamer"/>
        <s v="Monitor"/>
        <s v="Drucker"/>
        <s v="Smartphone"/>
        <s v="Laptop"/>
        <s v="Tablet"/>
      </sharedItems>
    </cacheField>
    <cacheField name="Modell" numFmtId="0">
      <sharedItems/>
    </cacheField>
    <cacheField name="Kaufdatum" numFmtId="14">
      <sharedItems containsSemiMixedTypes="0" containsNonDate="0" containsDate="1" containsString="0" minDate="2021-03-03T00:00:00" maxDate="2025-09-10T00:00:00"/>
    </cacheField>
    <cacheField name="Netto-Kaufpreis" numFmtId="168">
      <sharedItems containsSemiMixedTypes="0" containsString="0" containsNumber="1" containsInteger="1" minValue="14171" maxValue="189865"/>
    </cacheField>
    <cacheField name="Standort" numFmtId="0">
      <sharedItems count="3">
        <s v="Berlin"/>
        <s v="München"/>
        <s v="Hambur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s v="G0001"/>
    <s v="Tablet"/>
    <s v="Galaxy Tab"/>
    <d v="2023-01-11T00:00:00"/>
    <n v="134283"/>
    <s v="Berlin"/>
  </r>
  <r>
    <s v="G0002"/>
    <s v="Tablet"/>
    <s v="Surface Go"/>
    <d v="2021-02-23T00:00:00"/>
    <n v="107618"/>
    <s v="München"/>
  </r>
  <r>
    <s v="G0003"/>
    <s v="Tablet"/>
    <s v="iPad"/>
    <d v="2024-09-08T00:00:00"/>
    <n v="193154"/>
    <s v="München"/>
  </r>
  <r>
    <s v="G0004"/>
    <s v="Laptop"/>
    <s v="Dell XPS"/>
    <d v="2025-05-05T00:00:00"/>
    <n v="100788"/>
    <s v="München"/>
  </r>
  <r>
    <s v="G0005"/>
    <s v="Drucker"/>
    <s v="Canon Pixma"/>
    <d v="2021-11-03T00:00:00"/>
    <n v="82323"/>
    <s v="Berlin"/>
  </r>
  <r>
    <s v="G0006"/>
    <s v="Smartphone"/>
    <s v="Samsung S21"/>
    <d v="2024-01-01T00:00:00"/>
    <n v="125796"/>
    <s v="München"/>
  </r>
  <r>
    <s v="G0007"/>
    <s v="Laptop"/>
    <s v="Lenovo ThinkPad"/>
    <d v="2021-06-13T00:00:00"/>
    <n v="86909"/>
    <s v="Hamburg"/>
  </r>
  <r>
    <s v="G0008"/>
    <s v="Beamer"/>
    <s v="Epson EB"/>
    <d v="2025-06-23T00:00:00"/>
    <n v="132376"/>
    <s v="Hamburg"/>
  </r>
  <r>
    <s v="G0009"/>
    <s v="Laptop"/>
    <s v="Dell XPS"/>
    <d v="2023-04-10T00:00:00"/>
    <n v="145802"/>
    <s v="München"/>
  </r>
  <r>
    <s v="G0010"/>
    <s v="Laptop"/>
    <s v="Dell XPS"/>
    <d v="2023-11-09T00:00:00"/>
    <n v="178637"/>
    <s v="München"/>
  </r>
  <r>
    <s v="G0011"/>
    <s v="Drucker"/>
    <s v="Brother HL"/>
    <d v="2025-09-09T00:00:00"/>
    <n v="14171"/>
    <s v="München"/>
  </r>
  <r>
    <s v="G0012"/>
    <s v="Tablet"/>
    <s v="Galaxy Tab"/>
    <d v="2022-06-01T00:00:00"/>
    <n v="96843"/>
    <s v="Hamburg"/>
  </r>
  <r>
    <s v="G0013"/>
    <s v="Drucker"/>
    <s v="Canon Pixma"/>
    <d v="2021-05-16T00:00:00"/>
    <n v="189865"/>
    <s v="Hamburg"/>
  </r>
  <r>
    <s v="G0014"/>
    <s v="Laptop"/>
    <s v="Lenovo ThinkPad"/>
    <d v="2021-03-03T00:00:00"/>
    <n v="141597"/>
    <s v="Hamburg"/>
  </r>
  <r>
    <s v="G0015"/>
    <s v="Smartphone"/>
    <s v="iPhone 13"/>
    <d v="2022-09-20T00:00:00"/>
    <n v="66144"/>
    <s v="München"/>
  </r>
  <r>
    <s v="G0016"/>
    <s v="Drucker"/>
    <s v="Canon Pixma"/>
    <d v="2023-03-30T00:00:00"/>
    <n v="150106"/>
    <s v="Berlin"/>
  </r>
  <r>
    <s v="G0017"/>
    <s v="Smartphone"/>
    <s v="Samsung S21"/>
    <d v="2021-06-16T00:00:00"/>
    <n v="174856"/>
    <s v="Berlin"/>
  </r>
  <r>
    <s v="G0018"/>
    <s v="Tablet"/>
    <s v="iPad"/>
    <d v="2022-10-05T00:00:00"/>
    <n v="168807"/>
    <s v="München"/>
  </r>
  <r>
    <s v="G0019"/>
    <s v="Drucker"/>
    <s v="HP LaserJet"/>
    <d v="2021-08-21T00:00:00"/>
    <n v="73757"/>
    <s v="Hamburg"/>
  </r>
  <r>
    <s v="G0020"/>
    <s v="Smartphone"/>
    <s v="Samsung S21"/>
    <d v="2024-01-06T00:00:00"/>
    <n v="7402"/>
    <s v="München"/>
  </r>
  <r>
    <s v="G0021"/>
    <s v="Monitor"/>
    <s v="Samsung Curved"/>
    <d v="2023-02-22T00:00:00"/>
    <n v="113416"/>
    <s v="München"/>
  </r>
  <r>
    <s v="G0022"/>
    <s v="Tablet"/>
    <s v="iPad"/>
    <d v="2024-08-20T00:00:00"/>
    <n v="159198"/>
    <s v="Hamburg"/>
  </r>
  <r>
    <s v="G0023"/>
    <s v="Drucker"/>
    <s v="Canon Pixma"/>
    <d v="2023-11-19T00:00:00"/>
    <n v="133534"/>
    <s v="Hamburg"/>
  </r>
  <r>
    <s v="G0024"/>
    <s v="Monitor"/>
    <s v="Dell UltraSharp"/>
    <d v="2022-03-01T00:00:00"/>
    <n v="75091"/>
    <s v="Berlin"/>
  </r>
  <r>
    <s v="G0025"/>
    <s v="Beamer"/>
    <s v="Epson EB"/>
    <d v="2023-12-06T00:00:00"/>
    <n v="54546"/>
    <s v="Berlin"/>
  </r>
  <r>
    <s v="G0026"/>
    <s v="Laptop"/>
    <s v="Dell XPS"/>
    <d v="2023-10-20T00:00:00"/>
    <n v="140391"/>
    <s v="Hamburg"/>
  </r>
  <r>
    <s v="G0027"/>
    <s v="Monitor"/>
    <s v="Samsung Curved"/>
    <d v="2022-07-24T00:00:00"/>
    <n v="50164"/>
    <s v="München"/>
  </r>
  <r>
    <s v="G0028"/>
    <s v="Beamer"/>
    <s v="Epson EB"/>
    <d v="2023-01-19T00:00:00"/>
    <n v="124658"/>
    <s v="Hamburg"/>
  </r>
  <r>
    <s v="G0029"/>
    <s v="Laptop"/>
    <s v="Lenovo ThinkPad"/>
    <d v="2021-05-21T00:00:00"/>
    <n v="155315"/>
    <s v="Hamburg"/>
  </r>
  <r>
    <s v="G0030"/>
    <s v="Beamer"/>
    <s v="Epson EB"/>
    <d v="2022-03-27T00:00:00"/>
    <n v="162976"/>
    <s v="München"/>
  </r>
  <r>
    <s v="G0031"/>
    <s v="Laptop"/>
    <s v="HP EliteBook"/>
    <d v="2025-04-28T00:00:00"/>
    <n v="109562"/>
    <s v="München"/>
  </r>
  <r>
    <s v="G0032"/>
    <s v="Laptop"/>
    <s v="Lenovo ThinkPad"/>
    <d v="2022-11-11T00:00:00"/>
    <n v="180136"/>
    <s v="München"/>
  </r>
  <r>
    <s v="G0033"/>
    <s v="Beamer"/>
    <s v="BenQ MW550"/>
    <d v="2022-03-03T00:00:00"/>
    <n v="121229"/>
    <s v="Berlin"/>
  </r>
  <r>
    <s v="G0034"/>
    <s v="Smartphone"/>
    <s v="Samsung S21"/>
    <d v="2024-09-17T00:00:00"/>
    <n v="174667"/>
    <s v="Hamburg"/>
  </r>
  <r>
    <s v="G0035"/>
    <s v="Beamer"/>
    <s v="BenQ MW550"/>
    <d v="2024-01-03T00:00:00"/>
    <n v="64454"/>
    <s v="Berlin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s v="G0035"/>
    <n v="1009"/>
    <d v="2024-05-09T00:00:00"/>
    <x v="0"/>
  </r>
  <r>
    <s v="G0021"/>
    <n v="1008"/>
    <d v="2025-09-30T00:00:00"/>
    <x v="1"/>
  </r>
  <r>
    <s v="G0024"/>
    <n v="1005"/>
    <d v="2025-03-27T00:00:00"/>
    <x v="2"/>
  </r>
  <r>
    <s v="G0016"/>
    <n v="1010"/>
    <d v="2025-07-28T00:00:00"/>
    <x v="0"/>
  </r>
  <r>
    <s v="G0006"/>
    <n v="1012"/>
    <d v="2025-05-31T00:00:00"/>
    <x v="3"/>
  </r>
  <r>
    <s v="G0005"/>
    <n v="1009"/>
    <d v="2024-04-07T00:00:00"/>
    <x v="0"/>
  </r>
  <r>
    <s v="G0009"/>
    <n v="1011"/>
    <d v="2025-07-12T00:00:00"/>
    <x v="4"/>
  </r>
  <r>
    <s v="G0011"/>
    <n v="1005"/>
    <d v="2025-06-29T00:00:00"/>
    <x v="5"/>
  </r>
  <r>
    <s v="G0028"/>
    <n v="1004"/>
    <d v="2024-08-19T00:00:00"/>
    <x v="0"/>
  </r>
  <r>
    <s v="G0013"/>
    <n v="1012"/>
    <d v="2024-05-07T00:00:00"/>
    <x v="6"/>
  </r>
  <r>
    <s v="G0024"/>
    <n v="1008"/>
    <d v="2024-03-24T00:00:00"/>
    <x v="0"/>
  </r>
  <r>
    <s v="G0029"/>
    <n v="1002"/>
    <d v="2025-09-21T00:00:00"/>
    <x v="7"/>
  </r>
  <r>
    <s v="G0005"/>
    <n v="1006"/>
    <d v="2025-08-23T00:00:00"/>
    <x v="8"/>
  </r>
  <r>
    <s v="G0015"/>
    <n v="1010"/>
    <d v="2024-03-26T00:00:00"/>
    <x v="9"/>
  </r>
  <r>
    <s v="G0005"/>
    <n v="1012"/>
    <d v="2024-11-03T00:00:00"/>
    <x v="0"/>
  </r>
  <r>
    <s v="G0015"/>
    <n v="1002"/>
    <d v="2024-08-15T00:00:00"/>
    <x v="0"/>
  </r>
  <r>
    <s v="G0022"/>
    <n v="1002"/>
    <d v="2025-08-30T00:00:00"/>
    <x v="10"/>
  </r>
  <r>
    <s v="G0018"/>
    <n v="1011"/>
    <d v="2024-10-03T00:00:00"/>
    <x v="11"/>
  </r>
  <r>
    <s v="G0035"/>
    <n v="1003"/>
    <d v="2024-05-05T00:00:00"/>
    <x v="0"/>
  </r>
  <r>
    <s v="G0031"/>
    <n v="1004"/>
    <d v="2024-01-29T00:00:00"/>
    <x v="0"/>
  </r>
  <r>
    <s v="G0027"/>
    <n v="1004"/>
    <d v="2024-04-21T00:00:00"/>
    <x v="12"/>
  </r>
  <r>
    <s v="G0028"/>
    <n v="1006"/>
    <d v="2024-12-04T00:00:00"/>
    <x v="13"/>
  </r>
  <r>
    <s v="G0030"/>
    <n v="1012"/>
    <d v="2025-05-15T00:00:00"/>
    <x v="14"/>
  </r>
  <r>
    <s v="G0007"/>
    <n v="1001"/>
    <d v="2024-09-09T00:00:00"/>
    <x v="15"/>
  </r>
  <r>
    <s v="G0022"/>
    <n v="1002"/>
    <d v="2024-07-20T00:00:00"/>
    <x v="16"/>
  </r>
  <r>
    <s v="G0013"/>
    <n v="1009"/>
    <d v="2024-01-28T00:00:00"/>
    <x v="17"/>
  </r>
  <r>
    <s v="G0028"/>
    <n v="1003"/>
    <d v="2024-10-30T00:00:00"/>
    <x v="18"/>
  </r>
  <r>
    <s v="G0016"/>
    <n v="1002"/>
    <d v="2025-05-22T00:00:00"/>
    <x v="19"/>
  </r>
  <r>
    <s v="G0007"/>
    <n v="1001"/>
    <d v="2025-08-11T00:00:00"/>
    <x v="0"/>
  </r>
  <r>
    <s v="G0035"/>
    <n v="1001"/>
    <d v="2024-01-06T00:00:00"/>
    <x v="0"/>
  </r>
  <r>
    <s v="G0016"/>
    <n v="1003"/>
    <d v="2024-02-08T00:00:00"/>
    <x v="20"/>
  </r>
  <r>
    <s v="G0031"/>
    <n v="1004"/>
    <d v="2024-02-14T00:00:00"/>
    <x v="0"/>
  </r>
  <r>
    <s v="G0004"/>
    <n v="1003"/>
    <d v="2025-06-19T00:00:00"/>
    <x v="21"/>
  </r>
  <r>
    <s v="G0025"/>
    <n v="1005"/>
    <d v="2025-01-18T00:00:00"/>
    <x v="0"/>
  </r>
  <r>
    <s v="G0030"/>
    <n v="1005"/>
    <d v="2023-12-01T00:00:00"/>
    <x v="22"/>
  </r>
  <r>
    <s v="G0032"/>
    <n v="1003"/>
    <d v="2024-08-04T00:00:00"/>
    <x v="23"/>
  </r>
  <r>
    <s v="G0014"/>
    <n v="1001"/>
    <d v="2024-11-26T00:00:00"/>
    <x v="24"/>
  </r>
  <r>
    <s v="G0035"/>
    <n v="1001"/>
    <d v="2024-12-15T00:00:00"/>
    <x v="0"/>
  </r>
  <r>
    <s v="G0004"/>
    <n v="1001"/>
    <d v="2025-08-11T00:00:00"/>
    <x v="25"/>
  </r>
  <r>
    <s v="G0033"/>
    <n v="1009"/>
    <d v="2025-03-24T00:00:00"/>
    <x v="26"/>
  </r>
  <r>
    <s v="G0033"/>
    <n v="1002"/>
    <d v="2025-03-25T00:00:00"/>
    <x v="0"/>
  </r>
  <r>
    <s v="G0005"/>
    <n v="1010"/>
    <d v="2025-08-30T00:00:00"/>
    <x v="27"/>
  </r>
  <r>
    <s v="G0016"/>
    <n v="1007"/>
    <d v="2025-05-18T00:00:00"/>
    <x v="28"/>
  </r>
  <r>
    <s v="G0016"/>
    <n v="1010"/>
    <d v="2025-05-31T00:00:00"/>
    <x v="29"/>
  </r>
  <r>
    <s v="G0006"/>
    <n v="1007"/>
    <d v="2024-07-03T00:00:00"/>
    <x v="0"/>
  </r>
  <r>
    <s v=""/>
    <m/>
    <m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s v="G0001"/>
    <x v="0"/>
    <s v="Galaxy Tab"/>
    <d v="2023-01-11T00:00:00"/>
    <n v="134283"/>
    <s v="Berlin"/>
    <s v=""/>
    <s v=""/>
    <x v="0"/>
  </r>
  <r>
    <s v="G0002"/>
    <x v="0"/>
    <s v="Surface Go"/>
    <d v="2021-02-23T00:00:00"/>
    <n v="107618"/>
    <s v="München"/>
    <s v=""/>
    <s v=""/>
    <x v="0"/>
  </r>
  <r>
    <s v="G0003"/>
    <x v="0"/>
    <s v="iPad"/>
    <d v="2024-09-08T00:00:00"/>
    <n v="193154"/>
    <s v="München"/>
    <s v=""/>
    <s v=""/>
    <x v="0"/>
  </r>
  <r>
    <s v="G0004"/>
    <x v="1"/>
    <s v="Dell XPS"/>
    <d v="2025-05-05T00:00:00"/>
    <n v="100788"/>
    <s v="München"/>
    <n v="1003"/>
    <d v="2025-06-19T00:00:00"/>
    <x v="1"/>
  </r>
  <r>
    <s v="G0005"/>
    <x v="2"/>
    <s v="Canon Pixma"/>
    <d v="2021-11-03T00:00:00"/>
    <n v="82323"/>
    <s v="Berlin"/>
    <n v="1009"/>
    <d v="2024-04-07T00:00:00"/>
    <x v="2"/>
  </r>
  <r>
    <s v="G0006"/>
    <x v="3"/>
    <s v="Samsung S21"/>
    <d v="2024-01-01T00:00:00"/>
    <n v="125796"/>
    <s v="München"/>
    <n v="1012"/>
    <d v="2025-05-31T00:00:00"/>
    <x v="3"/>
  </r>
  <r>
    <s v="G0007"/>
    <x v="1"/>
    <s v="Lenovo ThinkPad"/>
    <d v="2021-06-13T00:00:00"/>
    <n v="86909"/>
    <s v="Hamburg"/>
    <n v="1001"/>
    <d v="2024-09-09T00:00:00"/>
    <x v="4"/>
  </r>
  <r>
    <s v="G0008"/>
    <x v="4"/>
    <s v="Epson EB"/>
    <d v="2025-06-23T00:00:00"/>
    <n v="132376"/>
    <s v="Hamburg"/>
    <s v=""/>
    <s v=""/>
    <x v="0"/>
  </r>
  <r>
    <s v="G0009"/>
    <x v="1"/>
    <s v="Dell XPS"/>
    <d v="2023-04-10T00:00:00"/>
    <n v="145802"/>
    <s v="München"/>
    <n v="1011"/>
    <d v="2025-07-12T00:00:00"/>
    <x v="5"/>
  </r>
  <r>
    <s v="G0010"/>
    <x v="1"/>
    <s v="Dell XPS"/>
    <d v="2023-11-09T00:00:00"/>
    <n v="178637"/>
    <s v="München"/>
    <s v=""/>
    <s v=""/>
    <x v="0"/>
  </r>
  <r>
    <s v="G0011"/>
    <x v="2"/>
    <s v="Brother HL"/>
    <d v="2025-09-09T00:00:00"/>
    <n v="14171"/>
    <s v="München"/>
    <n v="1005"/>
    <d v="2025-06-29T00:00:00"/>
    <x v="6"/>
  </r>
  <r>
    <s v="G0012"/>
    <x v="0"/>
    <s v="Galaxy Tab"/>
    <d v="2022-06-01T00:00:00"/>
    <n v="96843"/>
    <s v="Hamburg"/>
    <s v=""/>
    <s v=""/>
    <x v="0"/>
  </r>
  <r>
    <s v="G0013"/>
    <x v="2"/>
    <s v="Canon Pixma"/>
    <d v="2021-05-16T00:00:00"/>
    <n v="189865"/>
    <s v="Hamburg"/>
    <n v="1012"/>
    <d v="2024-05-07T00:00:00"/>
    <x v="7"/>
  </r>
  <r>
    <s v="G0014"/>
    <x v="1"/>
    <s v="Lenovo ThinkPad"/>
    <d v="2021-03-03T00:00:00"/>
    <n v="141597"/>
    <s v="Hamburg"/>
    <n v="1001"/>
    <d v="2024-11-26T00:00:00"/>
    <x v="8"/>
  </r>
  <r>
    <s v="G0015"/>
    <x v="3"/>
    <s v="iPhone 13"/>
    <d v="2022-09-20T00:00:00"/>
    <n v="66144"/>
    <s v="München"/>
    <n v="1010"/>
    <d v="2024-03-26T00:00:00"/>
    <x v="9"/>
  </r>
  <r>
    <s v="G0016"/>
    <x v="2"/>
    <s v="Canon Pixma"/>
    <d v="2023-03-30T00:00:00"/>
    <n v="150106"/>
    <s v="Berlin"/>
    <n v="1010"/>
    <d v="2025-07-28T00:00:00"/>
    <x v="2"/>
  </r>
  <r>
    <s v="G0017"/>
    <x v="3"/>
    <s v="Samsung S21"/>
    <d v="2021-06-16T00:00:00"/>
    <n v="174856"/>
    <s v="Berlin"/>
    <s v=""/>
    <s v=""/>
    <x v="0"/>
  </r>
  <r>
    <s v="G0018"/>
    <x v="0"/>
    <s v="iPad"/>
    <d v="2022-10-05T00:00:00"/>
    <n v="168807"/>
    <s v="München"/>
    <n v="1011"/>
    <d v="2024-10-03T00:00:00"/>
    <x v="10"/>
  </r>
  <r>
    <s v="G0019"/>
    <x v="2"/>
    <s v="HP LaserJet"/>
    <d v="2021-08-21T00:00:00"/>
    <n v="73757"/>
    <s v="Hamburg"/>
    <s v=""/>
    <s v=""/>
    <x v="0"/>
  </r>
  <r>
    <s v="G0020"/>
    <x v="3"/>
    <s v="Samsung S21"/>
    <d v="2024-01-06T00:00:00"/>
    <n v="7402"/>
    <s v="München"/>
    <s v=""/>
    <s v=""/>
    <x v="0"/>
  </r>
  <r>
    <s v="G0021"/>
    <x v="5"/>
    <s v="Samsung Curved"/>
    <d v="2023-02-22T00:00:00"/>
    <n v="113416"/>
    <s v="München"/>
    <n v="1008"/>
    <d v="2025-09-30T00:00:00"/>
    <x v="11"/>
  </r>
  <r>
    <s v="G0022"/>
    <x v="0"/>
    <s v="iPad"/>
    <d v="2024-08-20T00:00:00"/>
    <n v="159198"/>
    <s v="Hamburg"/>
    <n v="1002"/>
    <d v="2025-08-30T00:00:00"/>
    <x v="12"/>
  </r>
  <r>
    <s v="G0023"/>
    <x v="2"/>
    <s v="Canon Pixma"/>
    <d v="2023-11-19T00:00:00"/>
    <n v="133534"/>
    <s v="Hamburg"/>
    <s v=""/>
    <s v=""/>
    <x v="0"/>
  </r>
  <r>
    <s v="G0024"/>
    <x v="5"/>
    <s v="Dell UltraSharp"/>
    <d v="2022-03-01T00:00:00"/>
    <n v="75091"/>
    <s v="Berlin"/>
    <n v="1005"/>
    <d v="2025-03-27T00:00:00"/>
    <x v="13"/>
  </r>
  <r>
    <s v="G0025"/>
    <x v="4"/>
    <s v="Epson EB"/>
    <d v="2023-12-06T00:00:00"/>
    <n v="54546"/>
    <s v="Berlin"/>
    <n v="1005"/>
    <d v="2025-01-18T00:00:00"/>
    <x v="2"/>
  </r>
  <r>
    <s v="G0026"/>
    <x v="1"/>
    <s v="Dell XPS"/>
    <d v="2023-10-20T00:00:00"/>
    <n v="140391"/>
    <s v="Hamburg"/>
    <s v=""/>
    <s v=""/>
    <x v="0"/>
  </r>
  <r>
    <s v="G0027"/>
    <x v="5"/>
    <s v="Samsung Curved"/>
    <d v="2022-07-24T00:00:00"/>
    <n v="50164"/>
    <s v="München"/>
    <n v="1004"/>
    <d v="2024-04-21T00:00:00"/>
    <x v="14"/>
  </r>
  <r>
    <s v="G0028"/>
    <x v="4"/>
    <s v="Epson EB"/>
    <d v="2023-01-19T00:00:00"/>
    <n v="124658"/>
    <s v="Hamburg"/>
    <n v="1004"/>
    <d v="2024-08-19T00:00:00"/>
    <x v="2"/>
  </r>
  <r>
    <s v="G0029"/>
    <x v="1"/>
    <s v="Lenovo ThinkPad"/>
    <d v="2021-05-21T00:00:00"/>
    <n v="155315"/>
    <s v="Hamburg"/>
    <n v="1002"/>
    <d v="2025-09-21T00:00:00"/>
    <x v="15"/>
  </r>
  <r>
    <s v="G0030"/>
    <x v="4"/>
    <s v="Epson EB"/>
    <d v="2022-03-27T00:00:00"/>
    <n v="162976"/>
    <s v="München"/>
    <n v="1012"/>
    <d v="2025-05-15T00:00:00"/>
    <x v="16"/>
  </r>
  <r>
    <s v="G0031"/>
    <x v="1"/>
    <s v="HP EliteBook"/>
    <d v="2025-04-28T00:00:00"/>
    <n v="109562"/>
    <s v="München"/>
    <n v="1004"/>
    <d v="2024-01-29T00:00:00"/>
    <x v="2"/>
  </r>
  <r>
    <s v="G0032"/>
    <x v="1"/>
    <s v="Lenovo ThinkPad"/>
    <d v="2022-11-11T00:00:00"/>
    <n v="180136"/>
    <s v="München"/>
    <n v="1003"/>
    <d v="2024-08-04T00:00:00"/>
    <x v="17"/>
  </r>
  <r>
    <s v="G0033"/>
    <x v="4"/>
    <s v="BenQ MW550"/>
    <d v="2022-03-03T00:00:00"/>
    <n v="121229"/>
    <s v="Berlin"/>
    <n v="1009"/>
    <d v="2025-03-24T00:00:00"/>
    <x v="18"/>
  </r>
  <r>
    <s v="G0034"/>
    <x v="3"/>
    <s v="Samsung S21"/>
    <d v="2024-09-17T00:00:00"/>
    <n v="174667"/>
    <s v="Hamburg"/>
    <s v=""/>
    <s v=""/>
    <x v="0"/>
  </r>
  <r>
    <s v="G0035"/>
    <x v="4"/>
    <s v="BenQ MW550"/>
    <d v="2024-01-03T00:00:00"/>
    <n v="64454"/>
    <s v="Berlin"/>
    <n v="1009"/>
    <d v="2024-05-09T00:00:00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s v="G0035"/>
    <n v="1009"/>
    <d v="2024-05-09T00:00:00"/>
    <m/>
    <x v="0"/>
    <s v="BenQ MW550"/>
    <d v="2024-01-03T00:00:00"/>
    <n v="64454"/>
    <x v="0"/>
  </r>
  <r>
    <s v="G0021"/>
    <n v="1008"/>
    <d v="2025-09-30T00:00:00"/>
    <d v="2025-10-05T00:00:00"/>
    <x v="1"/>
    <s v="Samsung Curved"/>
    <d v="2023-02-22T00:00:00"/>
    <n v="113416"/>
    <x v="1"/>
  </r>
  <r>
    <s v="G0024"/>
    <n v="1005"/>
    <d v="2025-03-27T00:00:00"/>
    <d v="2025-07-30T00:00:00"/>
    <x v="1"/>
    <s v="Dell UltraSharp"/>
    <d v="2022-03-01T00:00:00"/>
    <n v="75091"/>
    <x v="0"/>
  </r>
  <r>
    <s v="G0016"/>
    <n v="1010"/>
    <d v="2025-07-28T00:00:00"/>
    <m/>
    <x v="2"/>
    <s v="Canon Pixma"/>
    <d v="2023-03-30T00:00:00"/>
    <n v="150106"/>
    <x v="0"/>
  </r>
  <r>
    <s v="G0006"/>
    <n v="1012"/>
    <d v="2025-05-31T00:00:00"/>
    <d v="2025-06-10T00:00:00"/>
    <x v="3"/>
    <s v="Samsung S21"/>
    <d v="2024-01-01T00:00:00"/>
    <n v="125796"/>
    <x v="1"/>
  </r>
  <r>
    <s v="G0005"/>
    <n v="1009"/>
    <d v="2024-04-07T00:00:00"/>
    <m/>
    <x v="2"/>
    <s v="Canon Pixma"/>
    <d v="2021-11-03T00:00:00"/>
    <n v="82323"/>
    <x v="0"/>
  </r>
  <r>
    <s v="G0009"/>
    <n v="1011"/>
    <d v="2025-07-12T00:00:00"/>
    <d v="2025-07-15T00:00:00"/>
    <x v="4"/>
    <s v="Dell XPS"/>
    <d v="2023-04-10T00:00:00"/>
    <n v="145802"/>
    <x v="1"/>
  </r>
  <r>
    <s v="G0011"/>
    <n v="1005"/>
    <d v="2025-06-29T00:00:00"/>
    <d v="2025-08-29T00:00:00"/>
    <x v="2"/>
    <s v="Brother HL"/>
    <d v="2025-09-09T00:00:00"/>
    <n v="14171"/>
    <x v="1"/>
  </r>
  <r>
    <s v="G0028"/>
    <n v="1004"/>
    <d v="2024-08-19T00:00:00"/>
    <m/>
    <x v="0"/>
    <s v="Epson EB"/>
    <d v="2023-01-19T00:00:00"/>
    <n v="124658"/>
    <x v="2"/>
  </r>
  <r>
    <s v="G0013"/>
    <n v="1012"/>
    <d v="2024-05-07T00:00:00"/>
    <d v="2024-06-27T00:00:00"/>
    <x v="2"/>
    <s v="Canon Pixma"/>
    <d v="2021-05-16T00:00:00"/>
    <n v="189865"/>
    <x v="2"/>
  </r>
  <r>
    <s v="G0024"/>
    <n v="1008"/>
    <d v="2024-03-24T00:00:00"/>
    <m/>
    <x v="1"/>
    <s v="Dell UltraSharp"/>
    <d v="2022-03-01T00:00:00"/>
    <n v="75091"/>
    <x v="0"/>
  </r>
  <r>
    <s v="G0029"/>
    <n v="1002"/>
    <d v="2025-09-21T00:00:00"/>
    <d v="2025-10-04T00:00:00"/>
    <x v="4"/>
    <s v="Lenovo ThinkPad"/>
    <d v="2021-05-21T00:00:00"/>
    <n v="155315"/>
    <x v="2"/>
  </r>
  <r>
    <s v="G0005"/>
    <n v="1006"/>
    <d v="2025-08-23T00:00:00"/>
    <d v="2025-09-22T00:00:00"/>
    <x v="2"/>
    <s v="Canon Pixma"/>
    <d v="2021-11-03T00:00:00"/>
    <n v="82323"/>
    <x v="0"/>
  </r>
  <r>
    <s v="G0015"/>
    <n v="1010"/>
    <d v="2024-03-26T00:00:00"/>
    <d v="2025-08-17T00:00:00"/>
    <x v="3"/>
    <s v="iPhone 13"/>
    <d v="2022-09-20T00:00:00"/>
    <n v="66144"/>
    <x v="1"/>
  </r>
  <r>
    <s v="G0005"/>
    <n v="1012"/>
    <d v="2024-11-03T00:00:00"/>
    <m/>
    <x v="2"/>
    <s v="Canon Pixma"/>
    <d v="2021-11-03T00:00:00"/>
    <n v="82323"/>
    <x v="0"/>
  </r>
  <r>
    <s v="G0015"/>
    <n v="1002"/>
    <d v="2024-08-15T00:00:00"/>
    <m/>
    <x v="3"/>
    <s v="iPhone 13"/>
    <d v="2022-09-20T00:00:00"/>
    <n v="66144"/>
    <x v="1"/>
  </r>
  <r>
    <s v="G0022"/>
    <n v="1002"/>
    <d v="2025-08-30T00:00:00"/>
    <d v="2025-09-30T00:00:00"/>
    <x v="5"/>
    <s v="iPad"/>
    <d v="2024-08-20T00:00:00"/>
    <n v="159198"/>
    <x v="2"/>
  </r>
  <r>
    <s v="G0018"/>
    <n v="1011"/>
    <d v="2024-10-03T00:00:00"/>
    <d v="2024-11-27T00:00:00"/>
    <x v="5"/>
    <s v="iPad"/>
    <d v="2022-10-05T00:00:00"/>
    <n v="168807"/>
    <x v="1"/>
  </r>
  <r>
    <s v="G0035"/>
    <n v="1003"/>
    <d v="2024-05-05T00:00:00"/>
    <m/>
    <x v="0"/>
    <s v="BenQ MW550"/>
    <d v="2024-01-03T00:00:00"/>
    <n v="64454"/>
    <x v="0"/>
  </r>
  <r>
    <s v="G0031"/>
    <n v="1004"/>
    <d v="2024-01-29T00:00:00"/>
    <m/>
    <x v="4"/>
    <s v="HP EliteBook"/>
    <d v="2025-04-28T00:00:00"/>
    <n v="109562"/>
    <x v="1"/>
  </r>
  <r>
    <s v="G0027"/>
    <n v="1004"/>
    <d v="2024-04-21T00:00:00"/>
    <d v="2025-07-01T00:00:00"/>
    <x v="1"/>
    <s v="Samsung Curved"/>
    <d v="2022-07-24T00:00:00"/>
    <n v="50164"/>
    <x v="1"/>
  </r>
  <r>
    <s v="G0028"/>
    <n v="1006"/>
    <d v="2024-12-04T00:00:00"/>
    <d v="2025-03-16T00:00:00"/>
    <x v="0"/>
    <s v="Epson EB"/>
    <d v="2023-01-19T00:00:00"/>
    <n v="124658"/>
    <x v="2"/>
  </r>
  <r>
    <s v="G0030"/>
    <n v="1012"/>
    <d v="2025-05-15T00:00:00"/>
    <d v="2025-09-05T00:00:00"/>
    <x v="0"/>
    <s v="Epson EB"/>
    <d v="2022-03-27T00:00:00"/>
    <n v="162976"/>
    <x v="1"/>
  </r>
  <r>
    <s v="G0007"/>
    <n v="1001"/>
    <d v="2024-09-09T00:00:00"/>
    <d v="2025-07-16T00:00:00"/>
    <x v="4"/>
    <s v="Lenovo ThinkPad"/>
    <d v="2021-06-13T00:00:00"/>
    <n v="86909"/>
    <x v="2"/>
  </r>
  <r>
    <s v="G0022"/>
    <n v="1002"/>
    <d v="2024-07-20T00:00:00"/>
    <d v="2025-01-06T00:00:00"/>
    <x v="5"/>
    <s v="iPad"/>
    <d v="2024-08-20T00:00:00"/>
    <n v="159198"/>
    <x v="2"/>
  </r>
  <r>
    <s v="G0013"/>
    <n v="1009"/>
    <d v="2024-01-28T00:00:00"/>
    <d v="2025-02-26T00:00:00"/>
    <x v="2"/>
    <s v="Canon Pixma"/>
    <d v="2021-05-16T00:00:00"/>
    <n v="189865"/>
    <x v="2"/>
  </r>
  <r>
    <s v="G0028"/>
    <n v="1003"/>
    <d v="2024-10-30T00:00:00"/>
    <d v="2024-12-04T00:00:00"/>
    <x v="0"/>
    <s v="Epson EB"/>
    <d v="2023-01-19T00:00:00"/>
    <n v="124658"/>
    <x v="2"/>
  </r>
  <r>
    <s v="G0016"/>
    <n v="1002"/>
    <d v="2025-05-22T00:00:00"/>
    <d v="2025-05-31T00:00:00"/>
    <x v="2"/>
    <s v="Canon Pixma"/>
    <d v="2023-03-30T00:00:00"/>
    <n v="150106"/>
    <x v="0"/>
  </r>
  <r>
    <s v="G0007"/>
    <n v="1001"/>
    <d v="2025-08-11T00:00:00"/>
    <m/>
    <x v="4"/>
    <s v="Lenovo ThinkPad"/>
    <d v="2021-06-13T00:00:00"/>
    <n v="86909"/>
    <x v="2"/>
  </r>
  <r>
    <s v="G0035"/>
    <n v="1001"/>
    <d v="2024-01-06T00:00:00"/>
    <m/>
    <x v="0"/>
    <s v="BenQ MW550"/>
    <d v="2024-01-03T00:00:00"/>
    <n v="64454"/>
    <x v="0"/>
  </r>
  <r>
    <s v="G0016"/>
    <n v="1003"/>
    <d v="2024-02-08T00:00:00"/>
    <d v="2025-06-09T00:00:00"/>
    <x v="2"/>
    <s v="Canon Pixma"/>
    <d v="2023-03-30T00:00:00"/>
    <n v="150106"/>
    <x v="0"/>
  </r>
  <r>
    <s v="G0031"/>
    <n v="1004"/>
    <d v="2024-02-14T00:00:00"/>
    <m/>
    <x v="4"/>
    <s v="HP EliteBook"/>
    <d v="2025-04-28T00:00:00"/>
    <n v="109562"/>
    <x v="1"/>
  </r>
  <r>
    <s v="G0004"/>
    <n v="1003"/>
    <d v="2025-06-19T00:00:00"/>
    <d v="2025-09-08T00:00:00"/>
    <x v="4"/>
    <s v="Dell XPS"/>
    <d v="2025-05-05T00:00:00"/>
    <n v="100788"/>
    <x v="1"/>
  </r>
  <r>
    <s v="G0025"/>
    <n v="1005"/>
    <d v="2025-01-18T00:00:00"/>
    <m/>
    <x v="0"/>
    <s v="Epson EB"/>
    <d v="2023-12-06T00:00:00"/>
    <n v="54546"/>
    <x v="0"/>
  </r>
  <r>
    <s v="G0030"/>
    <n v="1005"/>
    <d v="2023-12-01T00:00:00"/>
    <d v="2024-09-24T00:00:00"/>
    <x v="0"/>
    <s v="Epson EB"/>
    <d v="2022-03-27T00:00:00"/>
    <n v="162976"/>
    <x v="1"/>
  </r>
  <r>
    <s v="G0032"/>
    <n v="1003"/>
    <d v="2024-08-04T00:00:00"/>
    <d v="2025-08-02T00:00:00"/>
    <x v="4"/>
    <s v="Lenovo ThinkPad"/>
    <d v="2022-11-11T00:00:00"/>
    <n v="180136"/>
    <x v="1"/>
  </r>
  <r>
    <s v="G0014"/>
    <n v="1001"/>
    <d v="2024-11-26T00:00:00"/>
    <d v="2025-03-03T00:00:00"/>
    <x v="4"/>
    <s v="Lenovo ThinkPad"/>
    <d v="2021-03-03T00:00:00"/>
    <n v="141597"/>
    <x v="2"/>
  </r>
  <r>
    <s v="G0035"/>
    <n v="1001"/>
    <d v="2024-12-15T00:00:00"/>
    <m/>
    <x v="0"/>
    <s v="BenQ MW550"/>
    <d v="2024-01-03T00:00:00"/>
    <n v="64454"/>
    <x v="0"/>
  </r>
  <r>
    <s v="G0004"/>
    <n v="1001"/>
    <d v="2025-08-11T00:00:00"/>
    <d v="2025-08-12T00:00:00"/>
    <x v="4"/>
    <s v="Dell XPS"/>
    <d v="2025-05-05T00:00:00"/>
    <n v="100788"/>
    <x v="1"/>
  </r>
  <r>
    <s v="G0033"/>
    <n v="1009"/>
    <d v="2025-03-24T00:00:00"/>
    <d v="2025-05-07T00:00:00"/>
    <x v="0"/>
    <s v="BenQ MW550"/>
    <d v="2022-03-03T00:00:00"/>
    <n v="121229"/>
    <x v="0"/>
  </r>
  <r>
    <s v="G0033"/>
    <n v="1002"/>
    <d v="2025-03-25T00:00:00"/>
    <m/>
    <x v="0"/>
    <s v="BenQ MW550"/>
    <d v="2022-03-03T00:00:00"/>
    <n v="121229"/>
    <x v="0"/>
  </r>
  <r>
    <s v="G0005"/>
    <n v="1010"/>
    <d v="2025-08-30T00:00:00"/>
    <d v="2025-09-25T00:00:00"/>
    <x v="2"/>
    <s v="Canon Pixma"/>
    <d v="2021-11-03T00:00:00"/>
    <n v="82323"/>
    <x v="0"/>
  </r>
  <r>
    <s v="G0016"/>
    <n v="1007"/>
    <d v="2025-05-18T00:00:00"/>
    <d v="2025-07-08T00:00:00"/>
    <x v="2"/>
    <s v="Canon Pixma"/>
    <d v="2023-03-30T00:00:00"/>
    <n v="150106"/>
    <x v="0"/>
  </r>
  <r>
    <s v="G0016"/>
    <n v="1010"/>
    <d v="2025-05-31T00:00:00"/>
    <d v="2025-10-02T00:00:00"/>
    <x v="2"/>
    <s v="Canon Pixma"/>
    <d v="2023-03-30T00:00:00"/>
    <n v="150106"/>
    <x v="0"/>
  </r>
  <r>
    <s v="G0006"/>
    <n v="1007"/>
    <d v="2024-07-03T00:00:00"/>
    <m/>
    <x v="3"/>
    <s v="Samsung S21"/>
    <d v="2024-01-01T00:00:00"/>
    <n v="12579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BF02A4-F0E4-43AB-BAB3-170592CF65CF}" name="PivotTable5" cacheId="24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C20" firstHeaderRow="1" firstDataRow="1" firstDataCol="0"/>
  <pivotFields count="4"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51FD29-151B-47A0-AC76-6C60B483E8F6}" name="PivotTable8" cacheId="35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12">
  <location ref="A3:E11" firstHeaderRow="1" firstDataRow="2" firstDataCol="1"/>
  <pivotFields count="9">
    <pivotField dataField="1" showAll="0"/>
    <pivotField showAll="0"/>
    <pivotField numFmtId="14" showAll="0"/>
    <pivotField showAll="0"/>
    <pivotField axis="axisRow" showAll="0">
      <items count="7">
        <item x="0"/>
        <item x="2"/>
        <item x="4"/>
        <item x="1"/>
        <item x="3"/>
        <item x="5"/>
        <item t="default"/>
      </items>
    </pivotField>
    <pivotField showAll="0"/>
    <pivotField numFmtId="14" showAll="0"/>
    <pivotField numFmtId="168" showAll="0"/>
    <pivotField axis="axisCol" showAll="0">
      <items count="4">
        <item x="0"/>
        <item x="2"/>
        <item x="1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Anzahl von Gerätenummer" fld="0" subtotal="count" baseField="0" baseItem="0"/>
  </dataFields>
  <chartFormats count="9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C19AB0-1AD0-4DE6-A8E7-4BE301468DFC}" name="PivotTable6" cacheId="25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A4" firstHeaderRow="1" firstDataRow="1" firstDataCol="0"/>
  <pivotFields count="6">
    <pivotField showAll="0"/>
    <pivotField showAll="0"/>
    <pivotField showAll="0"/>
    <pivotField numFmtId="14" showAll="0"/>
    <pivotField dataField="1" showAll="0"/>
    <pivotField showAll="0"/>
  </pivotFields>
  <rowItems count="1">
    <i/>
  </rowItems>
  <colItems count="1">
    <i/>
  </colItems>
  <dataFields count="1">
    <dataField name="Summe von Netto-Kaufprei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DE1864-EDC0-421C-BD4C-2C3109189645}" name="PivotTable7" cacheId="3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4:A5" firstHeaderRow="1" firstDataRow="1" firstDataCol="0" rowPageCount="2" colPageCount="1"/>
  <pivotFields count="9">
    <pivotField showAll="0"/>
    <pivotField axis="axisPage" showAll="0">
      <items count="7">
        <item x="4"/>
        <item x="2"/>
        <item x="1"/>
        <item x="5"/>
        <item x="3"/>
        <item x="0"/>
        <item t="default"/>
      </items>
    </pivotField>
    <pivotField showAll="0"/>
    <pivotField numFmtId="14" showAll="0"/>
    <pivotField dataField="1" showAll="0"/>
    <pivotField showAll="0"/>
    <pivotField showAll="0"/>
    <pivotField showAll="0"/>
    <pivotField axis="axisPage" multipleItemSelectionAllowed="1" showAll="0">
      <items count="20">
        <item h="1" x="0"/>
        <item x="2"/>
        <item x="7"/>
        <item x="10"/>
        <item x="8"/>
        <item x="18"/>
        <item x="3"/>
        <item x="14"/>
        <item x="5"/>
        <item x="4"/>
        <item x="13"/>
        <item x="17"/>
        <item x="9"/>
        <item x="6"/>
        <item x="16"/>
        <item x="1"/>
        <item x="12"/>
        <item x="15"/>
        <item x="11"/>
        <item t="default"/>
      </items>
    </pivotField>
  </pivotFields>
  <rowItems count="1">
    <i/>
  </rowItems>
  <colItems count="1">
    <i/>
  </colItems>
  <pageFields count="2">
    <pageField fld="8" hier="-1"/>
    <pageField fld="1" item="2" hier="-1"/>
  </pageFields>
  <dataFields count="1">
    <dataField name="Summe von Netto-Kaufprei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B8F8B7-FD3B-4C23-9A97-878ED5F32320}" name="PivotTable4" cacheId="24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" firstHeaderRow="0" firstDataRow="0" firstDataCol="0" rowPageCount="1" colPageCount="1"/>
  <pivotFields count="4">
    <pivotField showAll="0"/>
    <pivotField showAll="0"/>
    <pivotField showAll="0"/>
    <pivotField axis="axisPage" showAll="0">
      <items count="31">
        <item x="6"/>
        <item x="22"/>
        <item x="11"/>
        <item x="18"/>
        <item x="16"/>
        <item x="17"/>
        <item x="24"/>
        <item x="13"/>
        <item x="26"/>
        <item x="19"/>
        <item x="20"/>
        <item x="3"/>
        <item x="12"/>
        <item x="28"/>
        <item x="4"/>
        <item x="15"/>
        <item x="2"/>
        <item x="23"/>
        <item x="25"/>
        <item x="9"/>
        <item x="5"/>
        <item x="14"/>
        <item x="21"/>
        <item x="8"/>
        <item x="27"/>
        <item x="10"/>
        <item x="29"/>
        <item x="7"/>
        <item x="1"/>
        <item x="0"/>
        <item t="default"/>
      </items>
    </pivotField>
  </pivotFields>
  <pageFields count="1">
    <pageField fld="3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2E7D6-D03C-4EDD-B53D-A4FA88654B74}" name="PivotTable3" cacheId="25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A4" firstHeaderRow="1" firstDataRow="1" firstDataCol="0"/>
  <pivotFields count="6"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Summe von Netto-Kaufpreis" fld="4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AB311A-1041-4C70-A4A3-48955BE18E17}" name="PivotTable2" cacheId="16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me von Netto-Kaufpreis" fld="0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Geraete__3]"/>
        <x15:activeTabTopLevelEntity name="[Gerae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FF2025-F478-4EB8-86B3-B9816BD4EC79}" name="PivotTable1" cacheId="25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C20" firstHeaderRow="1" firstDataRow="1" firstDataCol="0"/>
  <pivotFields count="6"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AE1DB6B7-FD88-4C7F-8F46-3B52EF4DAAA9}" autoFormatId="16" applyNumberFormats="0" applyBorderFormats="0" applyFontFormats="0" applyPatternFormats="0" applyAlignmentFormats="0" applyWidthHeightFormats="0">
  <queryTableRefresh nextId="10" unboundColumnsRight="5">
    <queryTableFields count="9">
      <queryTableField id="1" name="Gerätenummer" tableColumnId="1"/>
      <queryTableField id="2" name="Mitarbeiter-ID" tableColumnId="2"/>
      <queryTableField id="3" name="Ausgabe am" tableColumnId="3"/>
      <queryTableField id="4" name="Rückgabe am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4" xr16:uid="{45DA5DDD-F843-4DF0-8704-A82C48601F1D}" autoFormatId="16" applyNumberFormats="0" applyBorderFormats="0" applyFontFormats="0" applyPatternFormats="0" applyAlignmentFormats="0" applyWidthHeightFormats="0">
  <queryTableRefresh nextId="10" unboundColumnsRight="3">
    <queryTableFields count="9">
      <queryTableField id="1" name="Gerätenummer" tableColumnId="1"/>
      <queryTableField id="2" name="Gerätetyp" tableColumnId="2"/>
      <queryTableField id="3" name="Modell" tableColumnId="3"/>
      <queryTableField id="4" name="Kaufdatum" tableColumnId="4"/>
      <queryTableField id="5" name="Netto-Kaufpreis" tableColumnId="5"/>
      <queryTableField id="6" name="Standort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" xr16:uid="{A2DE12A9-F853-4ABB-ACFA-5B3F5323876B}" autoFormatId="16" applyNumberFormats="0" applyBorderFormats="0" applyFontFormats="0" applyPatternFormats="0" applyAlignmentFormats="0" applyWidthHeightFormats="0">
  <queryTableRefresh nextId="5">
    <queryTableFields count="4">
      <queryTableField id="1" name="Mitarbeiter-ID" tableColumnId="1"/>
      <queryTableField id="2" name="Name" tableColumnId="2"/>
      <queryTableField id="3" name="Abteilung" tableColumnId="3"/>
      <queryTableField id="4" name="Standort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BE7DE352-EE30-4A6C-A399-E581159A0C26}" autoFormatId="16" applyNumberFormats="0" applyBorderFormats="0" applyFontFormats="0" applyPatternFormats="0" applyAlignmentFormats="0" applyWidthHeightFormats="0">
  <queryTableRefresh nextId="8">
    <queryTableFields count="7">
      <queryTableField id="1" name="Gerätenummer" tableColumnId="1"/>
      <queryTableField id="2" name="Gerätetyp" tableColumnId="2"/>
      <queryTableField id="3" name="Modell" tableColumnId="3"/>
      <queryTableField id="4" name="Kaufdatum" tableColumnId="4"/>
      <queryTableField id="5" name="Netto-Kaufpreis" tableColumnId="5"/>
      <queryTableField id="6" name="Standort" tableColumnId="6"/>
      <queryTableField id="7" name="Ausleihen.Mitarbeiter-I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EF959B-D25D-4B92-878C-0442576FBD29}" name="Ausleihen" displayName="Ausleihen" ref="A1:I47" tableType="queryTable" totalsRowShown="0">
  <autoFilter ref="A1:I47" xr:uid="{C6EF959B-D25D-4B92-878C-0442576FBD29}"/>
  <tableColumns count="9">
    <tableColumn id="1" xr3:uid="{903FB254-C898-4F88-B0D7-5020E3359D8A}" uniqueName="1" name="Gerätenummer" queryTableFieldId="1" dataDxfId="7"/>
    <tableColumn id="2" xr3:uid="{79298D78-F65A-42F2-8F43-B179D3712BF9}" uniqueName="2" name="Mitarbeiter-ID" queryTableFieldId="2"/>
    <tableColumn id="3" xr3:uid="{FBC95AE6-79D5-42F3-9E9D-22E0979F99AF}" uniqueName="3" name="Ausgabe am" queryTableFieldId="3" dataDxfId="6"/>
    <tableColumn id="4" xr3:uid="{8C10B826-93A7-482A-9E37-9F47AAC1F5D0}" uniqueName="4" name="Rückgabe am" queryTableFieldId="4" dataDxfId="5"/>
    <tableColumn id="5" xr3:uid="{419ED5EA-83E7-4DB2-A7F1-EC61876551C3}" uniqueName="5" name="Gerätetyp" queryTableFieldId="5" dataDxfId="4">
      <calculatedColumnFormula>IFERROR(VLOOKUP(Ausleihen[[#This Row],[Gerätenummer]],Geraete!$A$2:$F$36,2,FALSE),"")</calculatedColumnFormula>
    </tableColumn>
    <tableColumn id="6" xr3:uid="{28355301-F918-46F3-AAC3-552E1F3268E5}" uniqueName="6" name="Modell" queryTableFieldId="6" dataDxfId="3">
      <calculatedColumnFormula>IFERROR(VLOOKUP(Ausleihen[[#This Row],[Gerätenummer]],Geraete!$A$2:$F$36,3,FALSE),"")</calculatedColumnFormula>
    </tableColumn>
    <tableColumn id="7" xr3:uid="{06B23603-E064-4894-A628-899A8F4FC4D2}" uniqueName="7" name="Kaufdatum" queryTableFieldId="7" dataDxfId="2">
      <calculatedColumnFormula>IFERROR(VLOOKUP(Ausleihen[[#This Row],[Gerätenummer]],Geraete!$A$2:$F$36,4,FALSE),"")</calculatedColumnFormula>
    </tableColumn>
    <tableColumn id="8" xr3:uid="{EACF0A1F-8A55-4EDF-95F1-1A35FDFE417A}" uniqueName="8" name="Netto-Kaufpreis" queryTableFieldId="8" dataDxfId="0">
      <calculatedColumnFormula>IFERROR(VLOOKUP(Ausleihen[[#This Row],[Gerätenummer]],Geraete!$A$2:$F$36,5,FALSE),"")</calculatedColumnFormula>
    </tableColumn>
    <tableColumn id="9" xr3:uid="{9A54FDA6-3C54-402B-9ADA-1B43A07478E4}" uniqueName="9" name="Standort" queryTableFieldId="9" dataDxfId="1">
      <calculatedColumnFormula>IFERROR(VLOOKUP(Ausleihen[[#This Row],[Gerätenummer]],Geraete!$A$2:$F$36,6,FALSE),"")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E3DB7A3-69C8-4A23-8578-D1D99B3CBABB}" name="Geraete__3" displayName="Geraete__3" ref="A1:I37" tableType="queryTable" totalsRowShown="0">
  <autoFilter ref="A1:I37" xr:uid="{0E3DB7A3-69C8-4A23-8578-D1D99B3CBABB}"/>
  <tableColumns count="9">
    <tableColumn id="1" xr3:uid="{824ECE00-3210-4730-AED7-D799296318D6}" uniqueName="1" name="Gerätenummer" queryTableFieldId="1" dataDxfId="15"/>
    <tableColumn id="2" xr3:uid="{79F4EAFB-667E-46B9-B3DA-758B062D3ADF}" uniqueName="2" name="Gerätetyp" queryTableFieldId="2" dataDxfId="14"/>
    <tableColumn id="3" xr3:uid="{745DEDDA-7498-4FC8-BC34-FE0F7754B62D}" uniqueName="3" name="Modell" queryTableFieldId="3" dataDxfId="13"/>
    <tableColumn id="4" xr3:uid="{D89C1524-48C9-4F8B-884A-267281CF5EDB}" uniqueName="4" name="Kaufdatum" queryTableFieldId="4" dataDxfId="12"/>
    <tableColumn id="5" xr3:uid="{984758DA-FA40-41F9-B783-D3797ADF006D}" uniqueName="5" name="Netto-Kaufpreis" queryTableFieldId="5"/>
    <tableColumn id="6" xr3:uid="{BCF71107-30B0-474F-AC27-3CA5135B194D}" uniqueName="6" name="Standort" queryTableFieldId="6" dataDxfId="11"/>
    <tableColumn id="7" xr3:uid="{D5DB492E-6D42-4628-9F3A-3CE8E8D18CCB}" uniqueName="7" name="Mitarbeiter-ID" queryTableFieldId="7" dataDxfId="10">
      <calculatedColumnFormula>IFERROR(VLOOKUP(Geraete__3[[#This Row],[Gerätenummer]],Ausleihen!$A$2:$D$46,2,FALSE),"")</calculatedColumnFormula>
    </tableColumn>
    <tableColumn id="8" xr3:uid="{90DA24F7-3EDC-489A-9EF7-31EAF1AD312D}" uniqueName="8" name="Ausgabe am" queryTableFieldId="8" dataDxfId="9">
      <calculatedColumnFormula>IFERROR(VLOOKUP(Geraete__3[[#This Row],[Gerätenummer]],Ausleihen!$A$2:$D$46,3,FALSE),"")</calculatedColumnFormula>
    </tableColumn>
    <tableColumn id="9" xr3:uid="{DE58989E-32D5-41CA-ACBC-80ADFC20027C}" uniqueName="9" name="Rückgabe am" queryTableFieldId="9" dataDxfId="8">
      <calculatedColumnFormula>IFERROR(VLOOKUP(Geraete__3[[#This Row],[Gerätenummer]],Ausleihen!$A$2:$D$46,4,FALSE),"")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EF5F68-357A-40F5-AD31-8147DEC0FA9D}" name="Mitarbeiter" displayName="Mitarbeiter" ref="A1:D13" tableType="queryTable" totalsRowShown="0">
  <autoFilter ref="A1:D13" xr:uid="{3EEF5F68-357A-40F5-AD31-8147DEC0FA9D}"/>
  <tableColumns count="4">
    <tableColumn id="1" xr3:uid="{C3CBB680-B119-4FD9-8E18-3A1042917616}" uniqueName="1" name="Mitarbeiter-ID" queryTableFieldId="1"/>
    <tableColumn id="2" xr3:uid="{AE1080C8-358E-46B2-815C-D960D6011E8D}" uniqueName="2" name="Name" queryTableFieldId="2" dataDxfId="24"/>
    <tableColumn id="3" xr3:uid="{BFCD2908-3CC2-46B7-B86E-9E83F0B9516F}" uniqueName="3" name="Abteilung" queryTableFieldId="3" dataDxfId="23"/>
    <tableColumn id="4" xr3:uid="{CB1B0B43-8BC9-4204-ACF0-152DE75A90AD}" uniqueName="4" name="Standort" queryTableFieldId="4" dataDxfId="2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673344-00E7-4CFA-82CB-21E40C55C9B9}" name="Geraete" displayName="Geraete" ref="A1:G59" tableType="queryTable" totalsRowShown="0">
  <autoFilter ref="A1:G59" xr:uid="{22673344-00E7-4CFA-82CB-21E40C55C9B9}"/>
  <tableColumns count="7">
    <tableColumn id="1" xr3:uid="{9F1C5ADB-7C77-4AFA-8CD1-F6BAD586C0E8}" uniqueName="1" name="Gerätenummer" queryTableFieldId="1" dataDxfId="21"/>
    <tableColumn id="2" xr3:uid="{B0E45265-B9DD-47FE-8C86-08DDE3E2AA78}" uniqueName="2" name="Gerätetyp" queryTableFieldId="2" dataDxfId="20"/>
    <tableColumn id="3" xr3:uid="{E398EE57-CE32-486D-B350-7287F86ADAC2}" uniqueName="3" name="Modell" queryTableFieldId="3" dataDxfId="19"/>
    <tableColumn id="4" xr3:uid="{E20AD4E7-076C-49E4-8F27-DA567AE668BD}" uniqueName="4" name="Kaufdatum" queryTableFieldId="4" dataDxfId="18"/>
    <tableColumn id="5" xr3:uid="{5A41A13F-BE1A-4BD8-AF0C-68E0D5F55361}" uniqueName="5" name="Netto-Kaufpreis" queryTableFieldId="5"/>
    <tableColumn id="6" xr3:uid="{565F2091-2525-4D6E-A07F-5E9093A061DE}" uniqueName="6" name="Standort" queryTableFieldId="6" dataDxfId="17"/>
    <tableColumn id="7" xr3:uid="{1F825185-F13B-4F71-B9DE-07E4A7E1DB7C}" uniqueName="7" name="Ausleihen.Mitarbeiter-ID" queryTableFieldId="7" dataDxf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2AF3-35A2-4DC0-BB30-AB01AA90052F}">
  <dimension ref="A3:C20"/>
  <sheetViews>
    <sheetView workbookViewId="0">
      <selection activeCell="A3" sqref="A3"/>
    </sheetView>
  </sheetViews>
  <sheetFormatPr baseColWidth="10" defaultRowHeight="14.3" x14ac:dyDescent="0.25"/>
  <sheetData>
    <row r="3" spans="1:3" x14ac:dyDescent="0.25">
      <c r="A3" s="3"/>
      <c r="B3" s="4"/>
      <c r="C3" s="5"/>
    </row>
    <row r="4" spans="1:3" x14ac:dyDescent="0.25">
      <c r="A4" s="6"/>
      <c r="B4" s="7"/>
      <c r="C4" s="8"/>
    </row>
    <row r="5" spans="1:3" x14ac:dyDescent="0.25">
      <c r="A5" s="6"/>
      <c r="B5" s="7"/>
      <c r="C5" s="8"/>
    </row>
    <row r="6" spans="1:3" x14ac:dyDescent="0.25">
      <c r="A6" s="6"/>
      <c r="B6" s="7"/>
      <c r="C6" s="8"/>
    </row>
    <row r="7" spans="1:3" x14ac:dyDescent="0.25">
      <c r="A7" s="6"/>
      <c r="B7" s="7"/>
      <c r="C7" s="8"/>
    </row>
    <row r="8" spans="1:3" x14ac:dyDescent="0.25">
      <c r="A8" s="6"/>
      <c r="B8" s="7"/>
      <c r="C8" s="8"/>
    </row>
    <row r="9" spans="1:3" x14ac:dyDescent="0.25">
      <c r="A9" s="6"/>
      <c r="B9" s="7"/>
      <c r="C9" s="8"/>
    </row>
    <row r="10" spans="1:3" x14ac:dyDescent="0.25">
      <c r="A10" s="6"/>
      <c r="B10" s="7"/>
      <c r="C10" s="8"/>
    </row>
    <row r="11" spans="1:3" x14ac:dyDescent="0.25">
      <c r="A11" s="6"/>
      <c r="B11" s="7"/>
      <c r="C11" s="8"/>
    </row>
    <row r="12" spans="1:3" x14ac:dyDescent="0.25">
      <c r="A12" s="6"/>
      <c r="B12" s="7"/>
      <c r="C12" s="8"/>
    </row>
    <row r="13" spans="1:3" x14ac:dyDescent="0.25">
      <c r="A13" s="6"/>
      <c r="B13" s="7"/>
      <c r="C13" s="8"/>
    </row>
    <row r="14" spans="1:3" x14ac:dyDescent="0.25">
      <c r="A14" s="6"/>
      <c r="B14" s="7"/>
      <c r="C14" s="8"/>
    </row>
    <row r="15" spans="1:3" x14ac:dyDescent="0.25">
      <c r="A15" s="6"/>
      <c r="B15" s="7"/>
      <c r="C15" s="8"/>
    </row>
    <row r="16" spans="1:3" x14ac:dyDescent="0.25">
      <c r="A16" s="6"/>
      <c r="B16" s="7"/>
      <c r="C16" s="8"/>
    </row>
    <row r="17" spans="1:3" x14ac:dyDescent="0.25">
      <c r="A17" s="6"/>
      <c r="B17" s="7"/>
      <c r="C17" s="8"/>
    </row>
    <row r="18" spans="1:3" x14ac:dyDescent="0.25">
      <c r="A18" s="6"/>
      <c r="B18" s="7"/>
      <c r="C18" s="8"/>
    </row>
    <row r="19" spans="1:3" x14ac:dyDescent="0.25">
      <c r="A19" s="6"/>
      <c r="B19" s="7"/>
      <c r="C19" s="8"/>
    </row>
    <row r="20" spans="1:3" x14ac:dyDescent="0.25">
      <c r="A20" s="9"/>
      <c r="B20" s="10"/>
      <c r="C20" s="1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C15A1-6945-43EE-96E2-45A0C0A0816D}">
  <dimension ref="A3:E11"/>
  <sheetViews>
    <sheetView tabSelected="1" workbookViewId="0">
      <selection activeCell="G25" sqref="G25"/>
    </sheetView>
  </sheetViews>
  <sheetFormatPr baseColWidth="10" defaultRowHeight="14.3" x14ac:dyDescent="0.25"/>
  <cols>
    <col min="1" max="1" width="24.125" bestFit="1" customWidth="1"/>
    <col min="2" max="2" width="22.625" bestFit="1" customWidth="1"/>
    <col min="3" max="3" width="8.75" bestFit="1" customWidth="1"/>
    <col min="4" max="4" width="9" bestFit="1" customWidth="1"/>
    <col min="5" max="5" width="14.5" bestFit="1" customWidth="1"/>
  </cols>
  <sheetData>
    <row r="3" spans="1:5" x14ac:dyDescent="0.25">
      <c r="A3" s="13" t="s">
        <v>93</v>
      </c>
      <c r="B3" s="13" t="s">
        <v>94</v>
      </c>
    </row>
    <row r="4" spans="1:5" x14ac:dyDescent="0.25">
      <c r="A4" s="13" t="s">
        <v>91</v>
      </c>
      <c r="B4" t="s">
        <v>36</v>
      </c>
      <c r="C4" t="s">
        <v>49</v>
      </c>
      <c r="D4" t="s">
        <v>39</v>
      </c>
      <c r="E4" t="s">
        <v>92</v>
      </c>
    </row>
    <row r="5" spans="1:5" x14ac:dyDescent="0.25">
      <c r="A5" s="14" t="s">
        <v>51</v>
      </c>
      <c r="B5" s="1">
        <v>7</v>
      </c>
      <c r="C5" s="1">
        <v>3</v>
      </c>
      <c r="D5" s="1">
        <v>2</v>
      </c>
      <c r="E5" s="1">
        <v>12</v>
      </c>
    </row>
    <row r="6" spans="1:5" x14ac:dyDescent="0.25">
      <c r="A6" s="14" t="s">
        <v>44</v>
      </c>
      <c r="B6" s="1">
        <v>9</v>
      </c>
      <c r="C6" s="1">
        <v>2</v>
      </c>
      <c r="D6" s="1">
        <v>1</v>
      </c>
      <c r="E6" s="1">
        <v>12</v>
      </c>
    </row>
    <row r="7" spans="1:5" x14ac:dyDescent="0.25">
      <c r="A7" s="14" t="s">
        <v>42</v>
      </c>
      <c r="B7" s="1"/>
      <c r="C7" s="1">
        <v>4</v>
      </c>
      <c r="D7" s="1">
        <v>6</v>
      </c>
      <c r="E7" s="1">
        <v>10</v>
      </c>
    </row>
    <row r="8" spans="1:5" x14ac:dyDescent="0.25">
      <c r="A8" s="14" t="s">
        <v>61</v>
      </c>
      <c r="B8" s="1">
        <v>2</v>
      </c>
      <c r="C8" s="1"/>
      <c r="D8" s="1">
        <v>2</v>
      </c>
      <c r="E8" s="1">
        <v>4</v>
      </c>
    </row>
    <row r="9" spans="1:5" x14ac:dyDescent="0.25">
      <c r="A9" s="14" t="s">
        <v>46</v>
      </c>
      <c r="B9" s="1"/>
      <c r="C9" s="1"/>
      <c r="D9" s="1">
        <v>4</v>
      </c>
      <c r="E9" s="1">
        <v>4</v>
      </c>
    </row>
    <row r="10" spans="1:5" x14ac:dyDescent="0.25">
      <c r="A10" s="14" t="s">
        <v>34</v>
      </c>
      <c r="B10" s="1"/>
      <c r="C10" s="1">
        <v>2</v>
      </c>
      <c r="D10" s="1">
        <v>1</v>
      </c>
      <c r="E10" s="1">
        <v>3</v>
      </c>
    </row>
    <row r="11" spans="1:5" x14ac:dyDescent="0.25">
      <c r="A11" s="14" t="s">
        <v>92</v>
      </c>
      <c r="B11" s="1">
        <v>18</v>
      </c>
      <c r="C11" s="1">
        <v>11</v>
      </c>
      <c r="D11" s="1">
        <v>16</v>
      </c>
      <c r="E11" s="1">
        <v>45</v>
      </c>
    </row>
  </sheetData>
  <pageMargins left="0.7" right="0.7" top="0.78740157499999996" bottom="0.78740157499999996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6D341-E51B-47FF-BC73-A24AC516B8B1}">
  <dimension ref="A1:I47"/>
  <sheetViews>
    <sheetView workbookViewId="0">
      <selection activeCell="D17" sqref="D17"/>
    </sheetView>
  </sheetViews>
  <sheetFormatPr baseColWidth="10" defaultRowHeight="14.3" x14ac:dyDescent="0.25"/>
  <cols>
    <col min="1" max="1" width="16.125" bestFit="1" customWidth="1"/>
    <col min="2" max="2" width="15.375" bestFit="1" customWidth="1"/>
    <col min="3" max="3" width="13.5" bestFit="1" customWidth="1"/>
    <col min="4" max="4" width="14.5" bestFit="1" customWidth="1"/>
    <col min="8" max="8" width="11.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</row>
    <row r="2" spans="1:9" x14ac:dyDescent="0.25">
      <c r="A2" s="1" t="s">
        <v>4</v>
      </c>
      <c r="B2">
        <v>1009</v>
      </c>
      <c r="C2" s="2">
        <v>45421</v>
      </c>
      <c r="D2" s="2"/>
      <c r="E2" t="str">
        <f>IFERROR(VLOOKUP(Ausleihen[[#This Row],[Gerätenummer]],Geraete!$A$2:$F$36,2,FALSE),"")</f>
        <v>Beamer</v>
      </c>
      <c r="F2" t="str">
        <f>IFERROR(VLOOKUP(Ausleihen[[#This Row],[Gerätenummer]],Geraete!$A$2:$F$36,3,FALSE),"")</f>
        <v>BenQ MW550</v>
      </c>
      <c r="G2" s="2">
        <f>IFERROR(VLOOKUP(Ausleihen[[#This Row],[Gerätenummer]],Geraete!$A$2:$F$36,4,FALSE),"")</f>
        <v>45294</v>
      </c>
      <c r="H2" s="12">
        <f>IFERROR(VLOOKUP(Ausleihen[[#This Row],[Gerätenummer]],Geraete!$A$2:$F$36,5,FALSE),"")</f>
        <v>64454</v>
      </c>
      <c r="I2" s="1" t="str">
        <f>IFERROR(VLOOKUP(Ausleihen[[#This Row],[Gerätenummer]],Geraete!$A$2:$F$36,6,FALSE),"")</f>
        <v>Berlin</v>
      </c>
    </row>
    <row r="3" spans="1:9" x14ac:dyDescent="0.25">
      <c r="A3" s="1" t="s">
        <v>5</v>
      </c>
      <c r="B3">
        <v>1008</v>
      </c>
      <c r="C3" s="2">
        <v>45930</v>
      </c>
      <c r="D3" s="2">
        <v>45935</v>
      </c>
      <c r="E3" t="str">
        <f>IFERROR(VLOOKUP(Ausleihen[[#This Row],[Gerätenummer]],Geraete!$A$2:$F$36,2,FALSE),"")</f>
        <v>Monitor</v>
      </c>
      <c r="F3" t="str">
        <f>IFERROR(VLOOKUP(Ausleihen[[#This Row],[Gerätenummer]],Geraete!$A$2:$F$36,3,FALSE),"")</f>
        <v>Samsung Curved</v>
      </c>
      <c r="G3" s="2">
        <f>IFERROR(VLOOKUP(Ausleihen[[#This Row],[Gerätenummer]],Geraete!$A$2:$F$36,4,FALSE),"")</f>
        <v>44979</v>
      </c>
      <c r="H3" s="12">
        <f>IFERROR(VLOOKUP(Ausleihen[[#This Row],[Gerätenummer]],Geraete!$A$2:$F$36,5,FALSE),"")</f>
        <v>113416</v>
      </c>
      <c r="I3" s="1" t="str">
        <f>IFERROR(VLOOKUP(Ausleihen[[#This Row],[Gerätenummer]],Geraete!$A$2:$F$36,6,FALSE),"")</f>
        <v>München</v>
      </c>
    </row>
    <row r="4" spans="1:9" x14ac:dyDescent="0.25">
      <c r="A4" s="1" t="s">
        <v>6</v>
      </c>
      <c r="B4">
        <v>1005</v>
      </c>
      <c r="C4" s="2">
        <v>45743</v>
      </c>
      <c r="D4" s="2">
        <v>45868</v>
      </c>
      <c r="E4" t="str">
        <f>IFERROR(VLOOKUP(Ausleihen[[#This Row],[Gerätenummer]],Geraete!$A$2:$F$36,2,FALSE),"")</f>
        <v>Monitor</v>
      </c>
      <c r="F4" t="str">
        <f>IFERROR(VLOOKUP(Ausleihen[[#This Row],[Gerätenummer]],Geraete!$A$2:$F$36,3,FALSE),"")</f>
        <v>Dell UltraSharp</v>
      </c>
      <c r="G4" s="2">
        <f>IFERROR(VLOOKUP(Ausleihen[[#This Row],[Gerätenummer]],Geraete!$A$2:$F$36,4,FALSE),"")</f>
        <v>44621</v>
      </c>
      <c r="H4" s="12">
        <f>IFERROR(VLOOKUP(Ausleihen[[#This Row],[Gerätenummer]],Geraete!$A$2:$F$36,5,FALSE),"")</f>
        <v>75091</v>
      </c>
      <c r="I4" s="1" t="str">
        <f>IFERROR(VLOOKUP(Ausleihen[[#This Row],[Gerätenummer]],Geraete!$A$2:$F$36,6,FALSE),"")</f>
        <v>Berlin</v>
      </c>
    </row>
    <row r="5" spans="1:9" x14ac:dyDescent="0.25">
      <c r="A5" s="1" t="s">
        <v>7</v>
      </c>
      <c r="B5">
        <v>1010</v>
      </c>
      <c r="C5" s="2">
        <v>45866</v>
      </c>
      <c r="D5" s="2"/>
      <c r="E5" t="str">
        <f>IFERROR(VLOOKUP(Ausleihen[[#This Row],[Gerätenummer]],Geraete!$A$2:$F$36,2,FALSE),"")</f>
        <v>Drucker</v>
      </c>
      <c r="F5" t="str">
        <f>IFERROR(VLOOKUP(Ausleihen[[#This Row],[Gerätenummer]],Geraete!$A$2:$F$36,3,FALSE),"")</f>
        <v>Canon Pixma</v>
      </c>
      <c r="G5" s="2">
        <f>IFERROR(VLOOKUP(Ausleihen[[#This Row],[Gerätenummer]],Geraete!$A$2:$F$36,4,FALSE),"")</f>
        <v>45015</v>
      </c>
      <c r="H5" s="12">
        <f>IFERROR(VLOOKUP(Ausleihen[[#This Row],[Gerätenummer]],Geraete!$A$2:$F$36,5,FALSE),"")</f>
        <v>150106</v>
      </c>
      <c r="I5" s="1" t="str">
        <f>IFERROR(VLOOKUP(Ausleihen[[#This Row],[Gerätenummer]],Geraete!$A$2:$F$36,6,FALSE),"")</f>
        <v>Berlin</v>
      </c>
    </row>
    <row r="6" spans="1:9" x14ac:dyDescent="0.25">
      <c r="A6" s="1" t="s">
        <v>8</v>
      </c>
      <c r="B6">
        <v>1012</v>
      </c>
      <c r="C6" s="2">
        <v>45808</v>
      </c>
      <c r="D6" s="2">
        <v>45818</v>
      </c>
      <c r="E6" t="str">
        <f>IFERROR(VLOOKUP(Ausleihen[[#This Row],[Gerätenummer]],Geraete!$A$2:$F$36,2,FALSE),"")</f>
        <v>Smartphone</v>
      </c>
      <c r="F6" t="str">
        <f>IFERROR(VLOOKUP(Ausleihen[[#This Row],[Gerätenummer]],Geraete!$A$2:$F$36,3,FALSE),"")</f>
        <v>Samsung S21</v>
      </c>
      <c r="G6" s="2">
        <f>IFERROR(VLOOKUP(Ausleihen[[#This Row],[Gerätenummer]],Geraete!$A$2:$F$36,4,FALSE),"")</f>
        <v>45292</v>
      </c>
      <c r="H6" s="12">
        <f>IFERROR(VLOOKUP(Ausleihen[[#This Row],[Gerätenummer]],Geraete!$A$2:$F$36,5,FALSE),"")</f>
        <v>125796</v>
      </c>
      <c r="I6" s="1" t="str">
        <f>IFERROR(VLOOKUP(Ausleihen[[#This Row],[Gerätenummer]],Geraete!$A$2:$F$36,6,FALSE),"")</f>
        <v>München</v>
      </c>
    </row>
    <row r="7" spans="1:9" x14ac:dyDescent="0.25">
      <c r="A7" s="1" t="s">
        <v>9</v>
      </c>
      <c r="B7">
        <v>1009</v>
      </c>
      <c r="C7" s="2">
        <v>45389</v>
      </c>
      <c r="D7" s="2"/>
      <c r="E7" t="str">
        <f>IFERROR(VLOOKUP(Ausleihen[[#This Row],[Gerätenummer]],Geraete!$A$2:$F$36,2,FALSE),"")</f>
        <v>Drucker</v>
      </c>
      <c r="F7" t="str">
        <f>IFERROR(VLOOKUP(Ausleihen[[#This Row],[Gerätenummer]],Geraete!$A$2:$F$36,3,FALSE),"")</f>
        <v>Canon Pixma</v>
      </c>
      <c r="G7" s="2">
        <f>IFERROR(VLOOKUP(Ausleihen[[#This Row],[Gerätenummer]],Geraete!$A$2:$F$36,4,FALSE),"")</f>
        <v>44503</v>
      </c>
      <c r="H7" s="12">
        <f>IFERROR(VLOOKUP(Ausleihen[[#This Row],[Gerätenummer]],Geraete!$A$2:$F$36,5,FALSE),"")</f>
        <v>82323</v>
      </c>
      <c r="I7" s="1" t="str">
        <f>IFERROR(VLOOKUP(Ausleihen[[#This Row],[Gerätenummer]],Geraete!$A$2:$F$36,6,FALSE),"")</f>
        <v>Berlin</v>
      </c>
    </row>
    <row r="8" spans="1:9" x14ac:dyDescent="0.25">
      <c r="A8" s="1" t="s">
        <v>10</v>
      </c>
      <c r="B8">
        <v>1011</v>
      </c>
      <c r="C8" s="2">
        <v>45850</v>
      </c>
      <c r="D8" s="2">
        <v>45853</v>
      </c>
      <c r="E8" t="str">
        <f>IFERROR(VLOOKUP(Ausleihen[[#This Row],[Gerätenummer]],Geraete!$A$2:$F$36,2,FALSE),"")</f>
        <v>Laptop</v>
      </c>
      <c r="F8" t="str">
        <f>IFERROR(VLOOKUP(Ausleihen[[#This Row],[Gerätenummer]],Geraete!$A$2:$F$36,3,FALSE),"")</f>
        <v>Dell XPS</v>
      </c>
      <c r="G8" s="2">
        <f>IFERROR(VLOOKUP(Ausleihen[[#This Row],[Gerätenummer]],Geraete!$A$2:$F$36,4,FALSE),"")</f>
        <v>45026</v>
      </c>
      <c r="H8" s="12">
        <f>IFERROR(VLOOKUP(Ausleihen[[#This Row],[Gerätenummer]],Geraete!$A$2:$F$36,5,FALSE),"")</f>
        <v>145802</v>
      </c>
      <c r="I8" s="1" t="str">
        <f>IFERROR(VLOOKUP(Ausleihen[[#This Row],[Gerätenummer]],Geraete!$A$2:$F$36,6,FALSE),"")</f>
        <v>München</v>
      </c>
    </row>
    <row r="9" spans="1:9" x14ac:dyDescent="0.25">
      <c r="A9" s="1" t="s">
        <v>11</v>
      </c>
      <c r="B9">
        <v>1005</v>
      </c>
      <c r="C9" s="2">
        <v>45837</v>
      </c>
      <c r="D9" s="2">
        <v>45898</v>
      </c>
      <c r="E9" t="str">
        <f>IFERROR(VLOOKUP(Ausleihen[[#This Row],[Gerätenummer]],Geraete!$A$2:$F$36,2,FALSE),"")</f>
        <v>Drucker</v>
      </c>
      <c r="F9" t="str">
        <f>IFERROR(VLOOKUP(Ausleihen[[#This Row],[Gerätenummer]],Geraete!$A$2:$F$36,3,FALSE),"")</f>
        <v>Brother HL</v>
      </c>
      <c r="G9" s="2">
        <f>IFERROR(VLOOKUP(Ausleihen[[#This Row],[Gerätenummer]],Geraete!$A$2:$F$36,4,FALSE),"")</f>
        <v>45909</v>
      </c>
      <c r="H9" s="12">
        <f>IFERROR(VLOOKUP(Ausleihen[[#This Row],[Gerätenummer]],Geraete!$A$2:$F$36,5,FALSE),"")</f>
        <v>14171</v>
      </c>
      <c r="I9" s="1" t="str">
        <f>IFERROR(VLOOKUP(Ausleihen[[#This Row],[Gerätenummer]],Geraete!$A$2:$F$36,6,FALSE),"")</f>
        <v>München</v>
      </c>
    </row>
    <row r="10" spans="1:9" x14ac:dyDescent="0.25">
      <c r="A10" s="1" t="s">
        <v>12</v>
      </c>
      <c r="B10">
        <v>1004</v>
      </c>
      <c r="C10" s="2">
        <v>45523</v>
      </c>
      <c r="D10" s="2"/>
      <c r="E10" t="str">
        <f>IFERROR(VLOOKUP(Ausleihen[[#This Row],[Gerätenummer]],Geraete!$A$2:$F$36,2,FALSE),"")</f>
        <v>Beamer</v>
      </c>
      <c r="F10" t="str">
        <f>IFERROR(VLOOKUP(Ausleihen[[#This Row],[Gerätenummer]],Geraete!$A$2:$F$36,3,FALSE),"")</f>
        <v>Epson EB</v>
      </c>
      <c r="G10" s="2">
        <f>IFERROR(VLOOKUP(Ausleihen[[#This Row],[Gerätenummer]],Geraete!$A$2:$F$36,4,FALSE),"")</f>
        <v>44945</v>
      </c>
      <c r="H10" s="12">
        <f>IFERROR(VLOOKUP(Ausleihen[[#This Row],[Gerätenummer]],Geraete!$A$2:$F$36,5,FALSE),"")</f>
        <v>124658</v>
      </c>
      <c r="I10" s="1" t="str">
        <f>IFERROR(VLOOKUP(Ausleihen[[#This Row],[Gerätenummer]],Geraete!$A$2:$F$36,6,FALSE),"")</f>
        <v>Hamburg</v>
      </c>
    </row>
    <row r="11" spans="1:9" x14ac:dyDescent="0.25">
      <c r="A11" s="1" t="s">
        <v>13</v>
      </c>
      <c r="B11">
        <v>1012</v>
      </c>
      <c r="C11" s="2">
        <v>45419</v>
      </c>
      <c r="D11" s="2">
        <v>45470</v>
      </c>
      <c r="E11" t="str">
        <f>IFERROR(VLOOKUP(Ausleihen[[#This Row],[Gerätenummer]],Geraete!$A$2:$F$36,2,FALSE),"")</f>
        <v>Drucker</v>
      </c>
      <c r="F11" t="str">
        <f>IFERROR(VLOOKUP(Ausleihen[[#This Row],[Gerätenummer]],Geraete!$A$2:$F$36,3,FALSE),"")</f>
        <v>Canon Pixma</v>
      </c>
      <c r="G11" s="2">
        <f>IFERROR(VLOOKUP(Ausleihen[[#This Row],[Gerätenummer]],Geraete!$A$2:$F$36,4,FALSE),"")</f>
        <v>44332</v>
      </c>
      <c r="H11" s="12">
        <f>IFERROR(VLOOKUP(Ausleihen[[#This Row],[Gerätenummer]],Geraete!$A$2:$F$36,5,FALSE),"")</f>
        <v>189865</v>
      </c>
      <c r="I11" s="1" t="str">
        <f>IFERROR(VLOOKUP(Ausleihen[[#This Row],[Gerätenummer]],Geraete!$A$2:$F$36,6,FALSE),"")</f>
        <v>Hamburg</v>
      </c>
    </row>
    <row r="12" spans="1:9" x14ac:dyDescent="0.25">
      <c r="A12" s="1" t="s">
        <v>6</v>
      </c>
      <c r="B12">
        <v>1008</v>
      </c>
      <c r="C12" s="2">
        <v>45375</v>
      </c>
      <c r="D12" s="2"/>
      <c r="E12" t="str">
        <f>IFERROR(VLOOKUP(Ausleihen[[#This Row],[Gerätenummer]],Geraete!$A$2:$F$36,2,FALSE),"")</f>
        <v>Monitor</v>
      </c>
      <c r="F12" t="str">
        <f>IFERROR(VLOOKUP(Ausleihen[[#This Row],[Gerätenummer]],Geraete!$A$2:$F$36,3,FALSE),"")</f>
        <v>Dell UltraSharp</v>
      </c>
      <c r="G12" s="2">
        <f>IFERROR(VLOOKUP(Ausleihen[[#This Row],[Gerätenummer]],Geraete!$A$2:$F$36,4,FALSE),"")</f>
        <v>44621</v>
      </c>
      <c r="H12" s="12">
        <f>IFERROR(VLOOKUP(Ausleihen[[#This Row],[Gerätenummer]],Geraete!$A$2:$F$36,5,FALSE),"")</f>
        <v>75091</v>
      </c>
      <c r="I12" s="1" t="str">
        <f>IFERROR(VLOOKUP(Ausleihen[[#This Row],[Gerätenummer]],Geraete!$A$2:$F$36,6,FALSE),"")</f>
        <v>Berlin</v>
      </c>
    </row>
    <row r="13" spans="1:9" x14ac:dyDescent="0.25">
      <c r="A13" s="1" t="s">
        <v>14</v>
      </c>
      <c r="B13">
        <v>1002</v>
      </c>
      <c r="C13" s="2">
        <v>45921</v>
      </c>
      <c r="D13" s="2">
        <v>45934</v>
      </c>
      <c r="E13" t="str">
        <f>IFERROR(VLOOKUP(Ausleihen[[#This Row],[Gerätenummer]],Geraete!$A$2:$F$36,2,FALSE),"")</f>
        <v>Laptop</v>
      </c>
      <c r="F13" t="str">
        <f>IFERROR(VLOOKUP(Ausleihen[[#This Row],[Gerätenummer]],Geraete!$A$2:$F$36,3,FALSE),"")</f>
        <v>Lenovo ThinkPad</v>
      </c>
      <c r="G13" s="2">
        <f>IFERROR(VLOOKUP(Ausleihen[[#This Row],[Gerätenummer]],Geraete!$A$2:$F$36,4,FALSE),"")</f>
        <v>44337</v>
      </c>
      <c r="H13" s="12">
        <f>IFERROR(VLOOKUP(Ausleihen[[#This Row],[Gerätenummer]],Geraete!$A$2:$F$36,5,FALSE),"")</f>
        <v>155315</v>
      </c>
      <c r="I13" s="1" t="str">
        <f>IFERROR(VLOOKUP(Ausleihen[[#This Row],[Gerätenummer]],Geraete!$A$2:$F$36,6,FALSE),"")</f>
        <v>Hamburg</v>
      </c>
    </row>
    <row r="14" spans="1:9" x14ac:dyDescent="0.25">
      <c r="A14" s="1" t="s">
        <v>9</v>
      </c>
      <c r="B14">
        <v>1006</v>
      </c>
      <c r="C14" s="2">
        <v>45892</v>
      </c>
      <c r="D14" s="2">
        <v>45922</v>
      </c>
      <c r="E14" t="str">
        <f>IFERROR(VLOOKUP(Ausleihen[[#This Row],[Gerätenummer]],Geraete!$A$2:$F$36,2,FALSE),"")</f>
        <v>Drucker</v>
      </c>
      <c r="F14" t="str">
        <f>IFERROR(VLOOKUP(Ausleihen[[#This Row],[Gerätenummer]],Geraete!$A$2:$F$36,3,FALSE),"")</f>
        <v>Canon Pixma</v>
      </c>
      <c r="G14" s="2">
        <f>IFERROR(VLOOKUP(Ausleihen[[#This Row],[Gerätenummer]],Geraete!$A$2:$F$36,4,FALSE),"")</f>
        <v>44503</v>
      </c>
      <c r="H14" s="12">
        <f>IFERROR(VLOOKUP(Ausleihen[[#This Row],[Gerätenummer]],Geraete!$A$2:$F$36,5,FALSE),"")</f>
        <v>82323</v>
      </c>
      <c r="I14" s="1" t="str">
        <f>IFERROR(VLOOKUP(Ausleihen[[#This Row],[Gerätenummer]],Geraete!$A$2:$F$36,6,FALSE),"")</f>
        <v>Berlin</v>
      </c>
    </row>
    <row r="15" spans="1:9" x14ac:dyDescent="0.25">
      <c r="A15" s="1" t="s">
        <v>15</v>
      </c>
      <c r="B15">
        <v>1010</v>
      </c>
      <c r="C15" s="2">
        <v>45377</v>
      </c>
      <c r="D15" s="2">
        <v>45886</v>
      </c>
      <c r="E15" t="str">
        <f>IFERROR(VLOOKUP(Ausleihen[[#This Row],[Gerätenummer]],Geraete!$A$2:$F$36,2,FALSE),"")</f>
        <v>Smartphone</v>
      </c>
      <c r="F15" t="str">
        <f>IFERROR(VLOOKUP(Ausleihen[[#This Row],[Gerätenummer]],Geraete!$A$2:$F$36,3,FALSE),"")</f>
        <v>iPhone 13</v>
      </c>
      <c r="G15" s="2">
        <f>IFERROR(VLOOKUP(Ausleihen[[#This Row],[Gerätenummer]],Geraete!$A$2:$F$36,4,FALSE),"")</f>
        <v>44824</v>
      </c>
      <c r="H15" s="12">
        <f>IFERROR(VLOOKUP(Ausleihen[[#This Row],[Gerätenummer]],Geraete!$A$2:$F$36,5,FALSE),"")</f>
        <v>66144</v>
      </c>
      <c r="I15" s="1" t="str">
        <f>IFERROR(VLOOKUP(Ausleihen[[#This Row],[Gerätenummer]],Geraete!$A$2:$F$36,6,FALSE),"")</f>
        <v>München</v>
      </c>
    </row>
    <row r="16" spans="1:9" x14ac:dyDescent="0.25">
      <c r="A16" s="1" t="s">
        <v>9</v>
      </c>
      <c r="B16">
        <v>1012</v>
      </c>
      <c r="C16" s="2">
        <v>45599</v>
      </c>
      <c r="D16" s="2"/>
      <c r="E16" t="str">
        <f>IFERROR(VLOOKUP(Ausleihen[[#This Row],[Gerätenummer]],Geraete!$A$2:$F$36,2,FALSE),"")</f>
        <v>Drucker</v>
      </c>
      <c r="F16" t="str">
        <f>IFERROR(VLOOKUP(Ausleihen[[#This Row],[Gerätenummer]],Geraete!$A$2:$F$36,3,FALSE),"")</f>
        <v>Canon Pixma</v>
      </c>
      <c r="G16" s="2">
        <f>IFERROR(VLOOKUP(Ausleihen[[#This Row],[Gerätenummer]],Geraete!$A$2:$F$36,4,FALSE),"")</f>
        <v>44503</v>
      </c>
      <c r="H16" s="12">
        <f>IFERROR(VLOOKUP(Ausleihen[[#This Row],[Gerätenummer]],Geraete!$A$2:$F$36,5,FALSE),"")</f>
        <v>82323</v>
      </c>
      <c r="I16" s="1" t="str">
        <f>IFERROR(VLOOKUP(Ausleihen[[#This Row],[Gerätenummer]],Geraete!$A$2:$F$36,6,FALSE),"")</f>
        <v>Berlin</v>
      </c>
    </row>
    <row r="17" spans="1:9" x14ac:dyDescent="0.25">
      <c r="A17" s="1" t="s">
        <v>15</v>
      </c>
      <c r="B17">
        <v>1002</v>
      </c>
      <c r="C17" s="2">
        <v>45519</v>
      </c>
      <c r="D17" s="2"/>
      <c r="E17" t="str">
        <f>IFERROR(VLOOKUP(Ausleihen[[#This Row],[Gerätenummer]],Geraete!$A$2:$F$36,2,FALSE),"")</f>
        <v>Smartphone</v>
      </c>
      <c r="F17" t="str">
        <f>IFERROR(VLOOKUP(Ausleihen[[#This Row],[Gerätenummer]],Geraete!$A$2:$F$36,3,FALSE),"")</f>
        <v>iPhone 13</v>
      </c>
      <c r="G17" s="2">
        <f>IFERROR(VLOOKUP(Ausleihen[[#This Row],[Gerätenummer]],Geraete!$A$2:$F$36,4,FALSE),"")</f>
        <v>44824</v>
      </c>
      <c r="H17" s="12">
        <f>IFERROR(VLOOKUP(Ausleihen[[#This Row],[Gerätenummer]],Geraete!$A$2:$F$36,5,FALSE),"")</f>
        <v>66144</v>
      </c>
      <c r="I17" s="1" t="str">
        <f>IFERROR(VLOOKUP(Ausleihen[[#This Row],[Gerätenummer]],Geraete!$A$2:$F$36,6,FALSE),"")</f>
        <v>München</v>
      </c>
    </row>
    <row r="18" spans="1:9" x14ac:dyDescent="0.25">
      <c r="A18" s="1" t="s">
        <v>16</v>
      </c>
      <c r="B18">
        <v>1002</v>
      </c>
      <c r="C18" s="2">
        <v>45899</v>
      </c>
      <c r="D18" s="2">
        <v>45930</v>
      </c>
      <c r="E18" t="str">
        <f>IFERROR(VLOOKUP(Ausleihen[[#This Row],[Gerätenummer]],Geraete!$A$2:$F$36,2,FALSE),"")</f>
        <v>Tablet</v>
      </c>
      <c r="F18" t="str">
        <f>IFERROR(VLOOKUP(Ausleihen[[#This Row],[Gerätenummer]],Geraete!$A$2:$F$36,3,FALSE),"")</f>
        <v>iPad</v>
      </c>
      <c r="G18" s="2">
        <f>IFERROR(VLOOKUP(Ausleihen[[#This Row],[Gerätenummer]],Geraete!$A$2:$F$36,4,FALSE),"")</f>
        <v>45524</v>
      </c>
      <c r="H18" s="12">
        <f>IFERROR(VLOOKUP(Ausleihen[[#This Row],[Gerätenummer]],Geraete!$A$2:$F$36,5,FALSE),"")</f>
        <v>159198</v>
      </c>
      <c r="I18" s="1" t="str">
        <f>IFERROR(VLOOKUP(Ausleihen[[#This Row],[Gerätenummer]],Geraete!$A$2:$F$36,6,FALSE),"")</f>
        <v>Hamburg</v>
      </c>
    </row>
    <row r="19" spans="1:9" x14ac:dyDescent="0.25">
      <c r="A19" s="1" t="s">
        <v>17</v>
      </c>
      <c r="B19">
        <v>1011</v>
      </c>
      <c r="C19" s="2">
        <v>45568</v>
      </c>
      <c r="D19" s="2">
        <v>45623</v>
      </c>
      <c r="E19" t="str">
        <f>IFERROR(VLOOKUP(Ausleihen[[#This Row],[Gerätenummer]],Geraete!$A$2:$F$36,2,FALSE),"")</f>
        <v>Tablet</v>
      </c>
      <c r="F19" t="str">
        <f>IFERROR(VLOOKUP(Ausleihen[[#This Row],[Gerätenummer]],Geraete!$A$2:$F$36,3,FALSE),"")</f>
        <v>iPad</v>
      </c>
      <c r="G19" s="2">
        <f>IFERROR(VLOOKUP(Ausleihen[[#This Row],[Gerätenummer]],Geraete!$A$2:$F$36,4,FALSE),"")</f>
        <v>44839</v>
      </c>
      <c r="H19" s="12">
        <f>IFERROR(VLOOKUP(Ausleihen[[#This Row],[Gerätenummer]],Geraete!$A$2:$F$36,5,FALSE),"")</f>
        <v>168807</v>
      </c>
      <c r="I19" s="1" t="str">
        <f>IFERROR(VLOOKUP(Ausleihen[[#This Row],[Gerätenummer]],Geraete!$A$2:$F$36,6,FALSE),"")</f>
        <v>München</v>
      </c>
    </row>
    <row r="20" spans="1:9" x14ac:dyDescent="0.25">
      <c r="A20" s="1" t="s">
        <v>4</v>
      </c>
      <c r="B20">
        <v>1003</v>
      </c>
      <c r="C20" s="2">
        <v>45417</v>
      </c>
      <c r="D20" s="2"/>
      <c r="E20" t="str">
        <f>IFERROR(VLOOKUP(Ausleihen[[#This Row],[Gerätenummer]],Geraete!$A$2:$F$36,2,FALSE),"")</f>
        <v>Beamer</v>
      </c>
      <c r="F20" t="str">
        <f>IFERROR(VLOOKUP(Ausleihen[[#This Row],[Gerätenummer]],Geraete!$A$2:$F$36,3,FALSE),"")</f>
        <v>BenQ MW550</v>
      </c>
      <c r="G20" s="2">
        <f>IFERROR(VLOOKUP(Ausleihen[[#This Row],[Gerätenummer]],Geraete!$A$2:$F$36,4,FALSE),"")</f>
        <v>45294</v>
      </c>
      <c r="H20" s="12">
        <f>IFERROR(VLOOKUP(Ausleihen[[#This Row],[Gerätenummer]],Geraete!$A$2:$F$36,5,FALSE),"")</f>
        <v>64454</v>
      </c>
      <c r="I20" s="1" t="str">
        <f>IFERROR(VLOOKUP(Ausleihen[[#This Row],[Gerätenummer]],Geraete!$A$2:$F$36,6,FALSE),"")</f>
        <v>Berlin</v>
      </c>
    </row>
    <row r="21" spans="1:9" x14ac:dyDescent="0.25">
      <c r="A21" s="1" t="s">
        <v>18</v>
      </c>
      <c r="B21">
        <v>1004</v>
      </c>
      <c r="C21" s="2">
        <v>45320</v>
      </c>
      <c r="D21" s="2"/>
      <c r="E21" t="str">
        <f>IFERROR(VLOOKUP(Ausleihen[[#This Row],[Gerätenummer]],Geraete!$A$2:$F$36,2,FALSE),"")</f>
        <v>Laptop</v>
      </c>
      <c r="F21" t="str">
        <f>IFERROR(VLOOKUP(Ausleihen[[#This Row],[Gerätenummer]],Geraete!$A$2:$F$36,3,FALSE),"")</f>
        <v>HP EliteBook</v>
      </c>
      <c r="G21" s="2">
        <f>IFERROR(VLOOKUP(Ausleihen[[#This Row],[Gerätenummer]],Geraete!$A$2:$F$36,4,FALSE),"")</f>
        <v>45775</v>
      </c>
      <c r="H21" s="12">
        <f>IFERROR(VLOOKUP(Ausleihen[[#This Row],[Gerätenummer]],Geraete!$A$2:$F$36,5,FALSE),"")</f>
        <v>109562</v>
      </c>
      <c r="I21" s="1" t="str">
        <f>IFERROR(VLOOKUP(Ausleihen[[#This Row],[Gerätenummer]],Geraete!$A$2:$F$36,6,FALSE),"")</f>
        <v>München</v>
      </c>
    </row>
    <row r="22" spans="1:9" x14ac:dyDescent="0.25">
      <c r="A22" s="1" t="s">
        <v>19</v>
      </c>
      <c r="B22">
        <v>1004</v>
      </c>
      <c r="C22" s="2">
        <v>45403</v>
      </c>
      <c r="D22" s="2">
        <v>45839</v>
      </c>
      <c r="E22" t="str">
        <f>IFERROR(VLOOKUP(Ausleihen[[#This Row],[Gerätenummer]],Geraete!$A$2:$F$36,2,FALSE),"")</f>
        <v>Monitor</v>
      </c>
      <c r="F22" t="str">
        <f>IFERROR(VLOOKUP(Ausleihen[[#This Row],[Gerätenummer]],Geraete!$A$2:$F$36,3,FALSE),"")</f>
        <v>Samsung Curved</v>
      </c>
      <c r="G22" s="2">
        <f>IFERROR(VLOOKUP(Ausleihen[[#This Row],[Gerätenummer]],Geraete!$A$2:$F$36,4,FALSE),"")</f>
        <v>44766</v>
      </c>
      <c r="H22" s="12">
        <f>IFERROR(VLOOKUP(Ausleihen[[#This Row],[Gerätenummer]],Geraete!$A$2:$F$36,5,FALSE),"")</f>
        <v>50164</v>
      </c>
      <c r="I22" s="1" t="str">
        <f>IFERROR(VLOOKUP(Ausleihen[[#This Row],[Gerätenummer]],Geraete!$A$2:$F$36,6,FALSE),"")</f>
        <v>München</v>
      </c>
    </row>
    <row r="23" spans="1:9" x14ac:dyDescent="0.25">
      <c r="A23" s="1" t="s">
        <v>12</v>
      </c>
      <c r="B23">
        <v>1006</v>
      </c>
      <c r="C23" s="2">
        <v>45630</v>
      </c>
      <c r="D23" s="2">
        <v>45732</v>
      </c>
      <c r="E23" t="str">
        <f>IFERROR(VLOOKUP(Ausleihen[[#This Row],[Gerätenummer]],Geraete!$A$2:$F$36,2,FALSE),"")</f>
        <v>Beamer</v>
      </c>
      <c r="F23" t="str">
        <f>IFERROR(VLOOKUP(Ausleihen[[#This Row],[Gerätenummer]],Geraete!$A$2:$F$36,3,FALSE),"")</f>
        <v>Epson EB</v>
      </c>
      <c r="G23" s="2">
        <f>IFERROR(VLOOKUP(Ausleihen[[#This Row],[Gerätenummer]],Geraete!$A$2:$F$36,4,FALSE),"")</f>
        <v>44945</v>
      </c>
      <c r="H23" s="12">
        <f>IFERROR(VLOOKUP(Ausleihen[[#This Row],[Gerätenummer]],Geraete!$A$2:$F$36,5,FALSE),"")</f>
        <v>124658</v>
      </c>
      <c r="I23" s="1" t="str">
        <f>IFERROR(VLOOKUP(Ausleihen[[#This Row],[Gerätenummer]],Geraete!$A$2:$F$36,6,FALSE),"")</f>
        <v>Hamburg</v>
      </c>
    </row>
    <row r="24" spans="1:9" x14ac:dyDescent="0.25">
      <c r="A24" s="1" t="s">
        <v>20</v>
      </c>
      <c r="B24">
        <v>1012</v>
      </c>
      <c r="C24" s="2">
        <v>45792</v>
      </c>
      <c r="D24" s="2">
        <v>45905</v>
      </c>
      <c r="E24" t="str">
        <f>IFERROR(VLOOKUP(Ausleihen[[#This Row],[Gerätenummer]],Geraete!$A$2:$F$36,2,FALSE),"")</f>
        <v>Beamer</v>
      </c>
      <c r="F24" t="str">
        <f>IFERROR(VLOOKUP(Ausleihen[[#This Row],[Gerätenummer]],Geraete!$A$2:$F$36,3,FALSE),"")</f>
        <v>Epson EB</v>
      </c>
      <c r="G24" s="2">
        <f>IFERROR(VLOOKUP(Ausleihen[[#This Row],[Gerätenummer]],Geraete!$A$2:$F$36,4,FALSE),"")</f>
        <v>44647</v>
      </c>
      <c r="H24" s="12">
        <f>IFERROR(VLOOKUP(Ausleihen[[#This Row],[Gerätenummer]],Geraete!$A$2:$F$36,5,FALSE),"")</f>
        <v>162976</v>
      </c>
      <c r="I24" s="1" t="str">
        <f>IFERROR(VLOOKUP(Ausleihen[[#This Row],[Gerätenummer]],Geraete!$A$2:$F$36,6,FALSE),"")</f>
        <v>München</v>
      </c>
    </row>
    <row r="25" spans="1:9" x14ac:dyDescent="0.25">
      <c r="A25" s="1" t="s">
        <v>21</v>
      </c>
      <c r="B25">
        <v>1001</v>
      </c>
      <c r="C25" s="2">
        <v>45544</v>
      </c>
      <c r="D25" s="2">
        <v>45854</v>
      </c>
      <c r="E25" t="str">
        <f>IFERROR(VLOOKUP(Ausleihen[[#This Row],[Gerätenummer]],Geraete!$A$2:$F$36,2,FALSE),"")</f>
        <v>Laptop</v>
      </c>
      <c r="F25" t="str">
        <f>IFERROR(VLOOKUP(Ausleihen[[#This Row],[Gerätenummer]],Geraete!$A$2:$F$36,3,FALSE),"")</f>
        <v>Lenovo ThinkPad</v>
      </c>
      <c r="G25" s="2">
        <f>IFERROR(VLOOKUP(Ausleihen[[#This Row],[Gerätenummer]],Geraete!$A$2:$F$36,4,FALSE),"")</f>
        <v>44360</v>
      </c>
      <c r="H25" s="12">
        <f>IFERROR(VLOOKUP(Ausleihen[[#This Row],[Gerätenummer]],Geraete!$A$2:$F$36,5,FALSE),"")</f>
        <v>86909</v>
      </c>
      <c r="I25" s="1" t="str">
        <f>IFERROR(VLOOKUP(Ausleihen[[#This Row],[Gerätenummer]],Geraete!$A$2:$F$36,6,FALSE),"")</f>
        <v>Hamburg</v>
      </c>
    </row>
    <row r="26" spans="1:9" x14ac:dyDescent="0.25">
      <c r="A26" s="1" t="s">
        <v>16</v>
      </c>
      <c r="B26">
        <v>1002</v>
      </c>
      <c r="C26" s="2">
        <v>45493</v>
      </c>
      <c r="D26" s="2">
        <v>45663</v>
      </c>
      <c r="E26" t="str">
        <f>IFERROR(VLOOKUP(Ausleihen[[#This Row],[Gerätenummer]],Geraete!$A$2:$F$36,2,FALSE),"")</f>
        <v>Tablet</v>
      </c>
      <c r="F26" t="str">
        <f>IFERROR(VLOOKUP(Ausleihen[[#This Row],[Gerätenummer]],Geraete!$A$2:$F$36,3,FALSE),"")</f>
        <v>iPad</v>
      </c>
      <c r="G26" s="2">
        <f>IFERROR(VLOOKUP(Ausleihen[[#This Row],[Gerätenummer]],Geraete!$A$2:$F$36,4,FALSE),"")</f>
        <v>45524</v>
      </c>
      <c r="H26" s="12">
        <f>IFERROR(VLOOKUP(Ausleihen[[#This Row],[Gerätenummer]],Geraete!$A$2:$F$36,5,FALSE),"")</f>
        <v>159198</v>
      </c>
      <c r="I26" s="1" t="str">
        <f>IFERROR(VLOOKUP(Ausleihen[[#This Row],[Gerätenummer]],Geraete!$A$2:$F$36,6,FALSE),"")</f>
        <v>Hamburg</v>
      </c>
    </row>
    <row r="27" spans="1:9" x14ac:dyDescent="0.25">
      <c r="A27" s="1" t="s">
        <v>13</v>
      </c>
      <c r="B27">
        <v>1009</v>
      </c>
      <c r="C27" s="2">
        <v>45319</v>
      </c>
      <c r="D27" s="2">
        <v>45714</v>
      </c>
      <c r="E27" t="str">
        <f>IFERROR(VLOOKUP(Ausleihen[[#This Row],[Gerätenummer]],Geraete!$A$2:$F$36,2,FALSE),"")</f>
        <v>Drucker</v>
      </c>
      <c r="F27" t="str">
        <f>IFERROR(VLOOKUP(Ausleihen[[#This Row],[Gerätenummer]],Geraete!$A$2:$F$36,3,FALSE),"")</f>
        <v>Canon Pixma</v>
      </c>
      <c r="G27" s="2">
        <f>IFERROR(VLOOKUP(Ausleihen[[#This Row],[Gerätenummer]],Geraete!$A$2:$F$36,4,FALSE),"")</f>
        <v>44332</v>
      </c>
      <c r="H27" s="12">
        <f>IFERROR(VLOOKUP(Ausleihen[[#This Row],[Gerätenummer]],Geraete!$A$2:$F$36,5,FALSE),"")</f>
        <v>189865</v>
      </c>
      <c r="I27" s="1" t="str">
        <f>IFERROR(VLOOKUP(Ausleihen[[#This Row],[Gerätenummer]],Geraete!$A$2:$F$36,6,FALSE),"")</f>
        <v>Hamburg</v>
      </c>
    </row>
    <row r="28" spans="1:9" x14ac:dyDescent="0.25">
      <c r="A28" s="1" t="s">
        <v>12</v>
      </c>
      <c r="B28">
        <v>1003</v>
      </c>
      <c r="C28" s="2">
        <v>45595</v>
      </c>
      <c r="D28" s="2">
        <v>45630</v>
      </c>
      <c r="E28" t="str">
        <f>IFERROR(VLOOKUP(Ausleihen[[#This Row],[Gerätenummer]],Geraete!$A$2:$F$36,2,FALSE),"")</f>
        <v>Beamer</v>
      </c>
      <c r="F28" t="str">
        <f>IFERROR(VLOOKUP(Ausleihen[[#This Row],[Gerätenummer]],Geraete!$A$2:$F$36,3,FALSE),"")</f>
        <v>Epson EB</v>
      </c>
      <c r="G28" s="2">
        <f>IFERROR(VLOOKUP(Ausleihen[[#This Row],[Gerätenummer]],Geraete!$A$2:$F$36,4,FALSE),"")</f>
        <v>44945</v>
      </c>
      <c r="H28" s="12">
        <f>IFERROR(VLOOKUP(Ausleihen[[#This Row],[Gerätenummer]],Geraete!$A$2:$F$36,5,FALSE),"")</f>
        <v>124658</v>
      </c>
      <c r="I28" s="1" t="str">
        <f>IFERROR(VLOOKUP(Ausleihen[[#This Row],[Gerätenummer]],Geraete!$A$2:$F$36,6,FALSE),"")</f>
        <v>Hamburg</v>
      </c>
    </row>
    <row r="29" spans="1:9" x14ac:dyDescent="0.25">
      <c r="A29" s="1" t="s">
        <v>7</v>
      </c>
      <c r="B29">
        <v>1002</v>
      </c>
      <c r="C29" s="2">
        <v>45799</v>
      </c>
      <c r="D29" s="2">
        <v>45808</v>
      </c>
      <c r="E29" t="str">
        <f>IFERROR(VLOOKUP(Ausleihen[[#This Row],[Gerätenummer]],Geraete!$A$2:$F$36,2,FALSE),"")</f>
        <v>Drucker</v>
      </c>
      <c r="F29" t="str">
        <f>IFERROR(VLOOKUP(Ausleihen[[#This Row],[Gerätenummer]],Geraete!$A$2:$F$36,3,FALSE),"")</f>
        <v>Canon Pixma</v>
      </c>
      <c r="G29" s="2">
        <f>IFERROR(VLOOKUP(Ausleihen[[#This Row],[Gerätenummer]],Geraete!$A$2:$F$36,4,FALSE),"")</f>
        <v>45015</v>
      </c>
      <c r="H29" s="12">
        <f>IFERROR(VLOOKUP(Ausleihen[[#This Row],[Gerätenummer]],Geraete!$A$2:$F$36,5,FALSE),"")</f>
        <v>150106</v>
      </c>
      <c r="I29" s="1" t="str">
        <f>IFERROR(VLOOKUP(Ausleihen[[#This Row],[Gerätenummer]],Geraete!$A$2:$F$36,6,FALSE),"")</f>
        <v>Berlin</v>
      </c>
    </row>
    <row r="30" spans="1:9" x14ac:dyDescent="0.25">
      <c r="A30" s="1" t="s">
        <v>21</v>
      </c>
      <c r="B30">
        <v>1001</v>
      </c>
      <c r="C30" s="2">
        <v>45880</v>
      </c>
      <c r="D30" s="2"/>
      <c r="E30" t="str">
        <f>IFERROR(VLOOKUP(Ausleihen[[#This Row],[Gerätenummer]],Geraete!$A$2:$F$36,2,FALSE),"")</f>
        <v>Laptop</v>
      </c>
      <c r="F30" t="str">
        <f>IFERROR(VLOOKUP(Ausleihen[[#This Row],[Gerätenummer]],Geraete!$A$2:$F$36,3,FALSE),"")</f>
        <v>Lenovo ThinkPad</v>
      </c>
      <c r="G30" s="2">
        <f>IFERROR(VLOOKUP(Ausleihen[[#This Row],[Gerätenummer]],Geraete!$A$2:$F$36,4,FALSE),"")</f>
        <v>44360</v>
      </c>
      <c r="H30" s="12">
        <f>IFERROR(VLOOKUP(Ausleihen[[#This Row],[Gerätenummer]],Geraete!$A$2:$F$36,5,FALSE),"")</f>
        <v>86909</v>
      </c>
      <c r="I30" s="1" t="str">
        <f>IFERROR(VLOOKUP(Ausleihen[[#This Row],[Gerätenummer]],Geraete!$A$2:$F$36,6,FALSE),"")</f>
        <v>Hamburg</v>
      </c>
    </row>
    <row r="31" spans="1:9" x14ac:dyDescent="0.25">
      <c r="A31" s="1" t="s">
        <v>4</v>
      </c>
      <c r="B31">
        <v>1001</v>
      </c>
      <c r="C31" s="2">
        <v>45297</v>
      </c>
      <c r="D31" s="2"/>
      <c r="E31" t="str">
        <f>IFERROR(VLOOKUP(Ausleihen[[#This Row],[Gerätenummer]],Geraete!$A$2:$F$36,2,FALSE),"")</f>
        <v>Beamer</v>
      </c>
      <c r="F31" t="str">
        <f>IFERROR(VLOOKUP(Ausleihen[[#This Row],[Gerätenummer]],Geraete!$A$2:$F$36,3,FALSE),"")</f>
        <v>BenQ MW550</v>
      </c>
      <c r="G31" s="2">
        <f>IFERROR(VLOOKUP(Ausleihen[[#This Row],[Gerätenummer]],Geraete!$A$2:$F$36,4,FALSE),"")</f>
        <v>45294</v>
      </c>
      <c r="H31" s="12">
        <f>IFERROR(VLOOKUP(Ausleihen[[#This Row],[Gerätenummer]],Geraete!$A$2:$F$36,5,FALSE),"")</f>
        <v>64454</v>
      </c>
      <c r="I31" s="1" t="str">
        <f>IFERROR(VLOOKUP(Ausleihen[[#This Row],[Gerätenummer]],Geraete!$A$2:$F$36,6,FALSE),"")</f>
        <v>Berlin</v>
      </c>
    </row>
    <row r="32" spans="1:9" x14ac:dyDescent="0.25">
      <c r="A32" s="1" t="s">
        <v>7</v>
      </c>
      <c r="B32">
        <v>1003</v>
      </c>
      <c r="C32" s="2">
        <v>45330</v>
      </c>
      <c r="D32" s="2">
        <v>45817</v>
      </c>
      <c r="E32" t="str">
        <f>IFERROR(VLOOKUP(Ausleihen[[#This Row],[Gerätenummer]],Geraete!$A$2:$F$36,2,FALSE),"")</f>
        <v>Drucker</v>
      </c>
      <c r="F32" t="str">
        <f>IFERROR(VLOOKUP(Ausleihen[[#This Row],[Gerätenummer]],Geraete!$A$2:$F$36,3,FALSE),"")</f>
        <v>Canon Pixma</v>
      </c>
      <c r="G32" s="2">
        <f>IFERROR(VLOOKUP(Ausleihen[[#This Row],[Gerätenummer]],Geraete!$A$2:$F$36,4,FALSE),"")</f>
        <v>45015</v>
      </c>
      <c r="H32" s="12">
        <f>IFERROR(VLOOKUP(Ausleihen[[#This Row],[Gerätenummer]],Geraete!$A$2:$F$36,5,FALSE),"")</f>
        <v>150106</v>
      </c>
      <c r="I32" s="1" t="str">
        <f>IFERROR(VLOOKUP(Ausleihen[[#This Row],[Gerätenummer]],Geraete!$A$2:$F$36,6,FALSE),"")</f>
        <v>Berlin</v>
      </c>
    </row>
    <row r="33" spans="1:9" x14ac:dyDescent="0.25">
      <c r="A33" s="1" t="s">
        <v>18</v>
      </c>
      <c r="B33">
        <v>1004</v>
      </c>
      <c r="C33" s="2">
        <v>45336</v>
      </c>
      <c r="D33" s="2"/>
      <c r="E33" t="str">
        <f>IFERROR(VLOOKUP(Ausleihen[[#This Row],[Gerätenummer]],Geraete!$A$2:$F$36,2,FALSE),"")</f>
        <v>Laptop</v>
      </c>
      <c r="F33" t="str">
        <f>IFERROR(VLOOKUP(Ausleihen[[#This Row],[Gerätenummer]],Geraete!$A$2:$F$36,3,FALSE),"")</f>
        <v>HP EliteBook</v>
      </c>
      <c r="G33" s="2">
        <f>IFERROR(VLOOKUP(Ausleihen[[#This Row],[Gerätenummer]],Geraete!$A$2:$F$36,4,FALSE),"")</f>
        <v>45775</v>
      </c>
      <c r="H33" s="12">
        <f>IFERROR(VLOOKUP(Ausleihen[[#This Row],[Gerätenummer]],Geraete!$A$2:$F$36,5,FALSE),"")</f>
        <v>109562</v>
      </c>
      <c r="I33" s="1" t="str">
        <f>IFERROR(VLOOKUP(Ausleihen[[#This Row],[Gerätenummer]],Geraete!$A$2:$F$36,6,FALSE),"")</f>
        <v>München</v>
      </c>
    </row>
    <row r="34" spans="1:9" x14ac:dyDescent="0.25">
      <c r="A34" s="1" t="s">
        <v>22</v>
      </c>
      <c r="B34">
        <v>1003</v>
      </c>
      <c r="C34" s="2">
        <v>45827</v>
      </c>
      <c r="D34" s="2">
        <v>45908</v>
      </c>
      <c r="E34" t="str">
        <f>IFERROR(VLOOKUP(Ausleihen[[#This Row],[Gerätenummer]],Geraete!$A$2:$F$36,2,FALSE),"")</f>
        <v>Laptop</v>
      </c>
      <c r="F34" t="str">
        <f>IFERROR(VLOOKUP(Ausleihen[[#This Row],[Gerätenummer]],Geraete!$A$2:$F$36,3,FALSE),"")</f>
        <v>Dell XPS</v>
      </c>
      <c r="G34" s="2">
        <f>IFERROR(VLOOKUP(Ausleihen[[#This Row],[Gerätenummer]],Geraete!$A$2:$F$36,4,FALSE),"")</f>
        <v>45782</v>
      </c>
      <c r="H34" s="12">
        <f>IFERROR(VLOOKUP(Ausleihen[[#This Row],[Gerätenummer]],Geraete!$A$2:$F$36,5,FALSE),"")</f>
        <v>100788</v>
      </c>
      <c r="I34" s="1" t="str">
        <f>IFERROR(VLOOKUP(Ausleihen[[#This Row],[Gerätenummer]],Geraete!$A$2:$F$36,6,FALSE),"")</f>
        <v>München</v>
      </c>
    </row>
    <row r="35" spans="1:9" x14ac:dyDescent="0.25">
      <c r="A35" s="1" t="s">
        <v>23</v>
      </c>
      <c r="B35">
        <v>1005</v>
      </c>
      <c r="C35" s="2">
        <v>45675</v>
      </c>
      <c r="D35" s="2"/>
      <c r="E35" t="str">
        <f>IFERROR(VLOOKUP(Ausleihen[[#This Row],[Gerätenummer]],Geraete!$A$2:$F$36,2,FALSE),"")</f>
        <v>Beamer</v>
      </c>
      <c r="F35" t="str">
        <f>IFERROR(VLOOKUP(Ausleihen[[#This Row],[Gerätenummer]],Geraete!$A$2:$F$36,3,FALSE),"")</f>
        <v>Epson EB</v>
      </c>
      <c r="G35" s="2">
        <f>IFERROR(VLOOKUP(Ausleihen[[#This Row],[Gerätenummer]],Geraete!$A$2:$F$36,4,FALSE),"")</f>
        <v>45266</v>
      </c>
      <c r="H35" s="12">
        <f>IFERROR(VLOOKUP(Ausleihen[[#This Row],[Gerätenummer]],Geraete!$A$2:$F$36,5,FALSE),"")</f>
        <v>54546</v>
      </c>
      <c r="I35" s="1" t="str">
        <f>IFERROR(VLOOKUP(Ausleihen[[#This Row],[Gerätenummer]],Geraete!$A$2:$F$36,6,FALSE),"")</f>
        <v>Berlin</v>
      </c>
    </row>
    <row r="36" spans="1:9" x14ac:dyDescent="0.25">
      <c r="A36" s="1" t="s">
        <v>20</v>
      </c>
      <c r="B36">
        <v>1005</v>
      </c>
      <c r="C36" s="2">
        <v>45261</v>
      </c>
      <c r="D36" s="2">
        <v>45559</v>
      </c>
      <c r="E36" t="str">
        <f>IFERROR(VLOOKUP(Ausleihen[[#This Row],[Gerätenummer]],Geraete!$A$2:$F$36,2,FALSE),"")</f>
        <v>Beamer</v>
      </c>
      <c r="F36" t="str">
        <f>IFERROR(VLOOKUP(Ausleihen[[#This Row],[Gerätenummer]],Geraete!$A$2:$F$36,3,FALSE),"")</f>
        <v>Epson EB</v>
      </c>
      <c r="G36" s="2">
        <f>IFERROR(VLOOKUP(Ausleihen[[#This Row],[Gerätenummer]],Geraete!$A$2:$F$36,4,FALSE),"")</f>
        <v>44647</v>
      </c>
      <c r="H36" s="12">
        <f>IFERROR(VLOOKUP(Ausleihen[[#This Row],[Gerätenummer]],Geraete!$A$2:$F$36,5,FALSE),"")</f>
        <v>162976</v>
      </c>
      <c r="I36" s="1" t="str">
        <f>IFERROR(VLOOKUP(Ausleihen[[#This Row],[Gerätenummer]],Geraete!$A$2:$F$36,6,FALSE),"")</f>
        <v>München</v>
      </c>
    </row>
    <row r="37" spans="1:9" x14ac:dyDescent="0.25">
      <c r="A37" s="1" t="s">
        <v>24</v>
      </c>
      <c r="B37">
        <v>1003</v>
      </c>
      <c r="C37" s="2">
        <v>45508</v>
      </c>
      <c r="D37" s="2">
        <v>45871</v>
      </c>
      <c r="E37" t="str">
        <f>IFERROR(VLOOKUP(Ausleihen[[#This Row],[Gerätenummer]],Geraete!$A$2:$F$36,2,FALSE),"")</f>
        <v>Laptop</v>
      </c>
      <c r="F37" t="str">
        <f>IFERROR(VLOOKUP(Ausleihen[[#This Row],[Gerätenummer]],Geraete!$A$2:$F$36,3,FALSE),"")</f>
        <v>Lenovo ThinkPad</v>
      </c>
      <c r="G37" s="2">
        <f>IFERROR(VLOOKUP(Ausleihen[[#This Row],[Gerätenummer]],Geraete!$A$2:$F$36,4,FALSE),"")</f>
        <v>44876</v>
      </c>
      <c r="H37" s="12">
        <f>IFERROR(VLOOKUP(Ausleihen[[#This Row],[Gerätenummer]],Geraete!$A$2:$F$36,5,FALSE),"")</f>
        <v>180136</v>
      </c>
      <c r="I37" s="1" t="str">
        <f>IFERROR(VLOOKUP(Ausleihen[[#This Row],[Gerätenummer]],Geraete!$A$2:$F$36,6,FALSE),"")</f>
        <v>München</v>
      </c>
    </row>
    <row r="38" spans="1:9" x14ac:dyDescent="0.25">
      <c r="A38" s="1" t="s">
        <v>25</v>
      </c>
      <c r="B38">
        <v>1001</v>
      </c>
      <c r="C38" s="2">
        <v>45622</v>
      </c>
      <c r="D38" s="2">
        <v>45719</v>
      </c>
      <c r="E38" t="str">
        <f>IFERROR(VLOOKUP(Ausleihen[[#This Row],[Gerätenummer]],Geraete!$A$2:$F$36,2,FALSE),"")</f>
        <v>Laptop</v>
      </c>
      <c r="F38" t="str">
        <f>IFERROR(VLOOKUP(Ausleihen[[#This Row],[Gerätenummer]],Geraete!$A$2:$F$36,3,FALSE),"")</f>
        <v>Lenovo ThinkPad</v>
      </c>
      <c r="G38" s="2">
        <f>IFERROR(VLOOKUP(Ausleihen[[#This Row],[Gerätenummer]],Geraete!$A$2:$F$36,4,FALSE),"")</f>
        <v>44258</v>
      </c>
      <c r="H38" s="12">
        <f>IFERROR(VLOOKUP(Ausleihen[[#This Row],[Gerätenummer]],Geraete!$A$2:$F$36,5,FALSE),"")</f>
        <v>141597</v>
      </c>
      <c r="I38" s="1" t="str">
        <f>IFERROR(VLOOKUP(Ausleihen[[#This Row],[Gerätenummer]],Geraete!$A$2:$F$36,6,FALSE),"")</f>
        <v>Hamburg</v>
      </c>
    </row>
    <row r="39" spans="1:9" x14ac:dyDescent="0.25">
      <c r="A39" s="1" t="s">
        <v>4</v>
      </c>
      <c r="B39">
        <v>1001</v>
      </c>
      <c r="C39" s="2">
        <v>45641</v>
      </c>
      <c r="D39" s="2"/>
      <c r="E39" t="str">
        <f>IFERROR(VLOOKUP(Ausleihen[[#This Row],[Gerätenummer]],Geraete!$A$2:$F$36,2,FALSE),"")</f>
        <v>Beamer</v>
      </c>
      <c r="F39" t="str">
        <f>IFERROR(VLOOKUP(Ausleihen[[#This Row],[Gerätenummer]],Geraete!$A$2:$F$36,3,FALSE),"")</f>
        <v>BenQ MW550</v>
      </c>
      <c r="G39" s="2">
        <f>IFERROR(VLOOKUP(Ausleihen[[#This Row],[Gerätenummer]],Geraete!$A$2:$F$36,4,FALSE),"")</f>
        <v>45294</v>
      </c>
      <c r="H39" s="12">
        <f>IFERROR(VLOOKUP(Ausleihen[[#This Row],[Gerätenummer]],Geraete!$A$2:$F$36,5,FALSE),"")</f>
        <v>64454</v>
      </c>
      <c r="I39" s="1" t="str">
        <f>IFERROR(VLOOKUP(Ausleihen[[#This Row],[Gerätenummer]],Geraete!$A$2:$F$36,6,FALSE),"")</f>
        <v>Berlin</v>
      </c>
    </row>
    <row r="40" spans="1:9" x14ac:dyDescent="0.25">
      <c r="A40" s="1" t="s">
        <v>22</v>
      </c>
      <c r="B40">
        <v>1001</v>
      </c>
      <c r="C40" s="2">
        <v>45880</v>
      </c>
      <c r="D40" s="2">
        <v>45881</v>
      </c>
      <c r="E40" t="str">
        <f>IFERROR(VLOOKUP(Ausleihen[[#This Row],[Gerätenummer]],Geraete!$A$2:$F$36,2,FALSE),"")</f>
        <v>Laptop</v>
      </c>
      <c r="F40" t="str">
        <f>IFERROR(VLOOKUP(Ausleihen[[#This Row],[Gerätenummer]],Geraete!$A$2:$F$36,3,FALSE),"")</f>
        <v>Dell XPS</v>
      </c>
      <c r="G40" s="2">
        <f>IFERROR(VLOOKUP(Ausleihen[[#This Row],[Gerätenummer]],Geraete!$A$2:$F$36,4,FALSE),"")</f>
        <v>45782</v>
      </c>
      <c r="H40" s="12">
        <f>IFERROR(VLOOKUP(Ausleihen[[#This Row],[Gerätenummer]],Geraete!$A$2:$F$36,5,FALSE),"")</f>
        <v>100788</v>
      </c>
      <c r="I40" s="1" t="str">
        <f>IFERROR(VLOOKUP(Ausleihen[[#This Row],[Gerätenummer]],Geraete!$A$2:$F$36,6,FALSE),"")</f>
        <v>München</v>
      </c>
    </row>
    <row r="41" spans="1:9" x14ac:dyDescent="0.25">
      <c r="A41" s="1" t="s">
        <v>26</v>
      </c>
      <c r="B41">
        <v>1009</v>
      </c>
      <c r="C41" s="2">
        <v>45740</v>
      </c>
      <c r="D41" s="2">
        <v>45784</v>
      </c>
      <c r="E41" t="str">
        <f>IFERROR(VLOOKUP(Ausleihen[[#This Row],[Gerätenummer]],Geraete!$A$2:$F$36,2,FALSE),"")</f>
        <v>Beamer</v>
      </c>
      <c r="F41" t="str">
        <f>IFERROR(VLOOKUP(Ausleihen[[#This Row],[Gerätenummer]],Geraete!$A$2:$F$36,3,FALSE),"")</f>
        <v>BenQ MW550</v>
      </c>
      <c r="G41" s="2">
        <f>IFERROR(VLOOKUP(Ausleihen[[#This Row],[Gerätenummer]],Geraete!$A$2:$F$36,4,FALSE),"")</f>
        <v>44623</v>
      </c>
      <c r="H41" s="12">
        <f>IFERROR(VLOOKUP(Ausleihen[[#This Row],[Gerätenummer]],Geraete!$A$2:$F$36,5,FALSE),"")</f>
        <v>121229</v>
      </c>
      <c r="I41" s="1" t="str">
        <f>IFERROR(VLOOKUP(Ausleihen[[#This Row],[Gerätenummer]],Geraete!$A$2:$F$36,6,FALSE),"")</f>
        <v>Berlin</v>
      </c>
    </row>
    <row r="42" spans="1:9" x14ac:dyDescent="0.25">
      <c r="A42" s="1" t="s">
        <v>26</v>
      </c>
      <c r="B42">
        <v>1002</v>
      </c>
      <c r="C42" s="2">
        <v>45741</v>
      </c>
      <c r="D42" s="2"/>
      <c r="E42" t="str">
        <f>IFERROR(VLOOKUP(Ausleihen[[#This Row],[Gerätenummer]],Geraete!$A$2:$F$36,2,FALSE),"")</f>
        <v>Beamer</v>
      </c>
      <c r="F42" t="str">
        <f>IFERROR(VLOOKUP(Ausleihen[[#This Row],[Gerätenummer]],Geraete!$A$2:$F$36,3,FALSE),"")</f>
        <v>BenQ MW550</v>
      </c>
      <c r="G42" s="2">
        <f>IFERROR(VLOOKUP(Ausleihen[[#This Row],[Gerätenummer]],Geraete!$A$2:$F$36,4,FALSE),"")</f>
        <v>44623</v>
      </c>
      <c r="H42" s="12">
        <f>IFERROR(VLOOKUP(Ausleihen[[#This Row],[Gerätenummer]],Geraete!$A$2:$F$36,5,FALSE),"")</f>
        <v>121229</v>
      </c>
      <c r="I42" s="1" t="str">
        <f>IFERROR(VLOOKUP(Ausleihen[[#This Row],[Gerätenummer]],Geraete!$A$2:$F$36,6,FALSE),"")</f>
        <v>Berlin</v>
      </c>
    </row>
    <row r="43" spans="1:9" x14ac:dyDescent="0.25">
      <c r="A43" s="1" t="s">
        <v>9</v>
      </c>
      <c r="B43">
        <v>1010</v>
      </c>
      <c r="C43" s="2">
        <v>45899</v>
      </c>
      <c r="D43" s="2">
        <v>45925</v>
      </c>
      <c r="E43" t="str">
        <f>IFERROR(VLOOKUP(Ausleihen[[#This Row],[Gerätenummer]],Geraete!$A$2:$F$36,2,FALSE),"")</f>
        <v>Drucker</v>
      </c>
      <c r="F43" t="str">
        <f>IFERROR(VLOOKUP(Ausleihen[[#This Row],[Gerätenummer]],Geraete!$A$2:$F$36,3,FALSE),"")</f>
        <v>Canon Pixma</v>
      </c>
      <c r="G43" s="2">
        <f>IFERROR(VLOOKUP(Ausleihen[[#This Row],[Gerätenummer]],Geraete!$A$2:$F$36,4,FALSE),"")</f>
        <v>44503</v>
      </c>
      <c r="H43" s="12">
        <f>IFERROR(VLOOKUP(Ausleihen[[#This Row],[Gerätenummer]],Geraete!$A$2:$F$36,5,FALSE),"")</f>
        <v>82323</v>
      </c>
      <c r="I43" s="1" t="str">
        <f>IFERROR(VLOOKUP(Ausleihen[[#This Row],[Gerätenummer]],Geraete!$A$2:$F$36,6,FALSE),"")</f>
        <v>Berlin</v>
      </c>
    </row>
    <row r="44" spans="1:9" x14ac:dyDescent="0.25">
      <c r="A44" s="1" t="s">
        <v>7</v>
      </c>
      <c r="B44">
        <v>1007</v>
      </c>
      <c r="C44" s="2">
        <v>45795</v>
      </c>
      <c r="D44" s="2">
        <v>45846</v>
      </c>
      <c r="E44" t="str">
        <f>IFERROR(VLOOKUP(Ausleihen[[#This Row],[Gerätenummer]],Geraete!$A$2:$F$36,2,FALSE),"")</f>
        <v>Drucker</v>
      </c>
      <c r="F44" t="str">
        <f>IFERROR(VLOOKUP(Ausleihen[[#This Row],[Gerätenummer]],Geraete!$A$2:$F$36,3,FALSE),"")</f>
        <v>Canon Pixma</v>
      </c>
      <c r="G44" s="2">
        <f>IFERROR(VLOOKUP(Ausleihen[[#This Row],[Gerätenummer]],Geraete!$A$2:$F$36,4,FALSE),"")</f>
        <v>45015</v>
      </c>
      <c r="H44" s="12">
        <f>IFERROR(VLOOKUP(Ausleihen[[#This Row],[Gerätenummer]],Geraete!$A$2:$F$36,5,FALSE),"")</f>
        <v>150106</v>
      </c>
      <c r="I44" s="1" t="str">
        <f>IFERROR(VLOOKUP(Ausleihen[[#This Row],[Gerätenummer]],Geraete!$A$2:$F$36,6,FALSE),"")</f>
        <v>Berlin</v>
      </c>
    </row>
    <row r="45" spans="1:9" x14ac:dyDescent="0.25">
      <c r="A45" s="1" t="s">
        <v>7</v>
      </c>
      <c r="B45">
        <v>1010</v>
      </c>
      <c r="C45" s="2">
        <v>45808</v>
      </c>
      <c r="D45" s="2">
        <v>45932</v>
      </c>
      <c r="E45" t="str">
        <f>IFERROR(VLOOKUP(Ausleihen[[#This Row],[Gerätenummer]],Geraete!$A$2:$F$36,2,FALSE),"")</f>
        <v>Drucker</v>
      </c>
      <c r="F45" t="str">
        <f>IFERROR(VLOOKUP(Ausleihen[[#This Row],[Gerätenummer]],Geraete!$A$2:$F$36,3,FALSE),"")</f>
        <v>Canon Pixma</v>
      </c>
      <c r="G45" s="2">
        <f>IFERROR(VLOOKUP(Ausleihen[[#This Row],[Gerätenummer]],Geraete!$A$2:$F$36,4,FALSE),"")</f>
        <v>45015</v>
      </c>
      <c r="H45" s="12">
        <f>IFERROR(VLOOKUP(Ausleihen[[#This Row],[Gerätenummer]],Geraete!$A$2:$F$36,5,FALSE),"")</f>
        <v>150106</v>
      </c>
      <c r="I45" s="1" t="str">
        <f>IFERROR(VLOOKUP(Ausleihen[[#This Row],[Gerätenummer]],Geraete!$A$2:$F$36,6,FALSE),"")</f>
        <v>Berlin</v>
      </c>
    </row>
    <row r="46" spans="1:9" x14ac:dyDescent="0.25">
      <c r="A46" s="1" t="s">
        <v>8</v>
      </c>
      <c r="B46">
        <v>1007</v>
      </c>
      <c r="C46" s="2">
        <v>45476</v>
      </c>
      <c r="D46" s="2"/>
      <c r="E46" t="str">
        <f>IFERROR(VLOOKUP(Ausleihen[[#This Row],[Gerätenummer]],Geraete!$A$2:$F$36,2,FALSE),"")</f>
        <v>Smartphone</v>
      </c>
      <c r="F46" t="str">
        <f>IFERROR(VLOOKUP(Ausleihen[[#This Row],[Gerätenummer]],Geraete!$A$2:$F$36,3,FALSE),"")</f>
        <v>Samsung S21</v>
      </c>
      <c r="G46" s="2">
        <f>IFERROR(VLOOKUP(Ausleihen[[#This Row],[Gerätenummer]],Geraete!$A$2:$F$36,4,FALSE),"")</f>
        <v>45292</v>
      </c>
      <c r="H46" s="12">
        <f>IFERROR(VLOOKUP(Ausleihen[[#This Row],[Gerätenummer]],Geraete!$A$2:$F$36,5,FALSE),"")</f>
        <v>125796</v>
      </c>
      <c r="I46" s="1" t="str">
        <f>IFERROR(VLOOKUP(Ausleihen[[#This Row],[Gerätenummer]],Geraete!$A$2:$F$36,6,FALSE),"")</f>
        <v>München</v>
      </c>
    </row>
    <row r="47" spans="1:9" x14ac:dyDescent="0.25">
      <c r="A47" s="1" t="s">
        <v>27</v>
      </c>
      <c r="C47" s="2"/>
      <c r="D47" s="2"/>
      <c r="E47" t="str">
        <f>IFERROR(VLOOKUP(Ausleihen[[#This Row],[Gerätenummer]],Geraete!$A$2:$F$36,2,FALSE),"")</f>
        <v/>
      </c>
      <c r="F47" t="str">
        <f>IFERROR(VLOOKUP(Ausleihen[[#This Row],[Gerätenummer]],Geraete!$A$2:$F$36,3,FALSE),"")</f>
        <v/>
      </c>
      <c r="G47" s="2" t="str">
        <f>IFERROR(VLOOKUP(Ausleihen[[#This Row],[Gerätenummer]],Geraete!$A$2:$F$36,4,FALSE),"")</f>
        <v/>
      </c>
      <c r="H47" s="12" t="str">
        <f>IFERROR(VLOOKUP(Ausleihen[[#This Row],[Gerätenummer]],Geraete!$A$2:$F$36,5,FALSE),"")</f>
        <v/>
      </c>
      <c r="I47" s="1" t="str">
        <f>IFERROR(VLOOKUP(Ausleihen[[#This Row],[Gerätenummer]],Geraete!$A$2:$F$36,6,FALSE),"")</f>
        <v/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5098C-9ADB-4343-981D-4B5541C55E1B}">
  <dimension ref="A3:A4"/>
  <sheetViews>
    <sheetView workbookViewId="0">
      <selection activeCell="A3" sqref="A3"/>
    </sheetView>
  </sheetViews>
  <sheetFormatPr baseColWidth="10" defaultRowHeight="14.3" x14ac:dyDescent="0.25"/>
  <cols>
    <col min="1" max="1" width="25.375" bestFit="1" customWidth="1"/>
  </cols>
  <sheetData>
    <row r="3" spans="1:1" x14ac:dyDescent="0.25">
      <c r="A3" t="s">
        <v>88</v>
      </c>
    </row>
    <row r="4" spans="1:1" x14ac:dyDescent="0.25">
      <c r="A4" s="1">
        <v>4190571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3272A-7206-4C93-ACB8-14EC5AB2678A}">
  <dimension ref="A1:B5"/>
  <sheetViews>
    <sheetView workbookViewId="0">
      <selection activeCell="A4" sqref="A4"/>
    </sheetView>
  </sheetViews>
  <sheetFormatPr baseColWidth="10" defaultRowHeight="14.3" x14ac:dyDescent="0.25"/>
  <cols>
    <col min="1" max="1" width="25.375" bestFit="1" customWidth="1"/>
    <col min="2" max="2" width="19.5" bestFit="1" customWidth="1"/>
  </cols>
  <sheetData>
    <row r="1" spans="1:2" x14ac:dyDescent="0.25">
      <c r="A1" s="13" t="s">
        <v>3</v>
      </c>
      <c r="B1" t="s">
        <v>90</v>
      </c>
    </row>
    <row r="2" spans="1:2" x14ac:dyDescent="0.25">
      <c r="A2" s="13" t="s">
        <v>28</v>
      </c>
      <c r="B2" t="s">
        <v>42</v>
      </c>
    </row>
    <row r="4" spans="1:2" x14ac:dyDescent="0.25">
      <c r="A4" t="s">
        <v>88</v>
      </c>
    </row>
    <row r="5" spans="1:2" x14ac:dyDescent="0.25">
      <c r="A5" s="1">
        <v>920109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B3689-62CD-4644-A8B9-C09AAE2D1CC2}">
  <dimension ref="A1:K37"/>
  <sheetViews>
    <sheetView workbookViewId="0">
      <selection activeCell="D10" sqref="D10"/>
    </sheetView>
  </sheetViews>
  <sheetFormatPr baseColWidth="10" defaultRowHeight="14.3" x14ac:dyDescent="0.25"/>
  <cols>
    <col min="1" max="1" width="16.125" bestFit="1" customWidth="1"/>
    <col min="2" max="2" width="11.75" bestFit="1" customWidth="1"/>
    <col min="3" max="3" width="14.5" bestFit="1" customWidth="1"/>
    <col min="4" max="4" width="12.625" bestFit="1" customWidth="1"/>
    <col min="5" max="5" width="16.75" bestFit="1" customWidth="1"/>
    <col min="6" max="6" width="10.75" bestFit="1" customWidth="1"/>
    <col min="7" max="7" width="16.125" customWidth="1"/>
  </cols>
  <sheetData>
    <row r="1" spans="1:11" x14ac:dyDescent="0.25">
      <c r="A1" t="s">
        <v>0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1</v>
      </c>
      <c r="H1" t="s">
        <v>2</v>
      </c>
      <c r="I1" t="s">
        <v>3</v>
      </c>
    </row>
    <row r="2" spans="1:11" x14ac:dyDescent="0.25">
      <c r="A2" s="1" t="s">
        <v>33</v>
      </c>
      <c r="B2" s="1" t="s">
        <v>34</v>
      </c>
      <c r="C2" s="1" t="s">
        <v>35</v>
      </c>
      <c r="D2" s="2">
        <v>44937</v>
      </c>
      <c r="E2">
        <v>134283</v>
      </c>
      <c r="F2" s="1" t="s">
        <v>36</v>
      </c>
      <c r="G2" s="1" t="str">
        <f>IFERROR(VLOOKUP(Geraete__3[[#This Row],[Gerätenummer]],Ausleihen!$A$2:$D$46,2,FALSE),"")</f>
        <v/>
      </c>
      <c r="H2" s="2" t="str">
        <f>IFERROR(VLOOKUP(Geraete__3[[#This Row],[Gerätenummer]],Ausleihen!$A$2:$D$46,3,FALSE),"")</f>
        <v/>
      </c>
      <c r="I2" s="2" t="str">
        <f>IFERROR(VLOOKUP(Geraete__3[[#This Row],[Gerätenummer]],Ausleihen!$A$2:$D$46,4,FALSE),"")</f>
        <v/>
      </c>
      <c r="K2" cm="1">
        <f t="array" ref="K2">SUM(IF(D2:D98&lt;&gt;"",VLOOKUP(A2:A98,Geraete!A$2:E$37,5,FALSE),0))</f>
        <v>4190571</v>
      </c>
    </row>
    <row r="3" spans="1:11" x14ac:dyDescent="0.25">
      <c r="A3" s="1" t="s">
        <v>37</v>
      </c>
      <c r="B3" s="1" t="s">
        <v>34</v>
      </c>
      <c r="C3" s="1" t="s">
        <v>38</v>
      </c>
      <c r="D3" s="2">
        <v>44250</v>
      </c>
      <c r="E3">
        <v>107618</v>
      </c>
      <c r="F3" s="1" t="s">
        <v>39</v>
      </c>
      <c r="G3" s="1" t="str">
        <f>IFERROR(VLOOKUP(Geraete__3[[#This Row],[Gerätenummer]],Ausleihen!$A$2:$D$46,2,FALSE),"")</f>
        <v/>
      </c>
      <c r="H3" s="2" t="str">
        <f>IFERROR(VLOOKUP(Geraete__3[[#This Row],[Gerätenummer]],Ausleihen!$A$2:$D$46,3,FALSE),"")</f>
        <v/>
      </c>
      <c r="I3" s="2" t="str">
        <f>IFERROR(VLOOKUP(Geraete__3[[#This Row],[Gerätenummer]],Ausleihen!$A$2:$D$46,4,FALSE),"")</f>
        <v/>
      </c>
    </row>
    <row r="4" spans="1:11" x14ac:dyDescent="0.25">
      <c r="A4" s="1" t="s">
        <v>40</v>
      </c>
      <c r="B4" s="1" t="s">
        <v>34</v>
      </c>
      <c r="C4" s="1" t="s">
        <v>41</v>
      </c>
      <c r="D4" s="2">
        <v>45543</v>
      </c>
      <c r="E4">
        <v>193154</v>
      </c>
      <c r="F4" s="1" t="s">
        <v>39</v>
      </c>
      <c r="G4" s="1" t="str">
        <f>IFERROR(VLOOKUP(Geraete__3[[#This Row],[Gerätenummer]],Ausleihen!$A$2:$D$46,2,FALSE),"")</f>
        <v/>
      </c>
      <c r="H4" s="2" t="str">
        <f>IFERROR(VLOOKUP(Geraete__3[[#This Row],[Gerätenummer]],Ausleihen!$A$2:$D$46,3,FALSE),"")</f>
        <v/>
      </c>
      <c r="I4" s="2" t="str">
        <f>IFERROR(VLOOKUP(Geraete__3[[#This Row],[Gerätenummer]],Ausleihen!$A$2:$D$46,4,FALSE),"")</f>
        <v/>
      </c>
    </row>
    <row r="5" spans="1:11" x14ac:dyDescent="0.25">
      <c r="A5" s="1" t="s">
        <v>22</v>
      </c>
      <c r="B5" s="1" t="s">
        <v>42</v>
      </c>
      <c r="C5" s="1" t="s">
        <v>43</v>
      </c>
      <c r="D5" s="2">
        <v>45782</v>
      </c>
      <c r="E5">
        <v>100788</v>
      </c>
      <c r="F5" s="1" t="s">
        <v>39</v>
      </c>
      <c r="G5" s="1">
        <f>IFERROR(VLOOKUP(Geraete__3[[#This Row],[Gerätenummer]],Ausleihen!$A$2:$D$46,2,FALSE),"")</f>
        <v>1003</v>
      </c>
      <c r="H5" s="2">
        <f>IFERROR(VLOOKUP(Geraete__3[[#This Row],[Gerätenummer]],Ausleihen!$A$2:$D$46,3,FALSE),"")</f>
        <v>45827</v>
      </c>
      <c r="I5" s="2">
        <f>IFERROR(VLOOKUP(Geraete__3[[#This Row],[Gerätenummer]],Ausleihen!$A$2:$D$46,4,FALSE),"")</f>
        <v>45908</v>
      </c>
    </row>
    <row r="6" spans="1:11" x14ac:dyDescent="0.25">
      <c r="A6" s="1" t="s">
        <v>9</v>
      </c>
      <c r="B6" s="1" t="s">
        <v>44</v>
      </c>
      <c r="C6" s="1" t="s">
        <v>45</v>
      </c>
      <c r="D6" s="2">
        <v>44503</v>
      </c>
      <c r="E6">
        <v>82323</v>
      </c>
      <c r="F6" s="1" t="s">
        <v>36</v>
      </c>
      <c r="G6" s="1">
        <f>IFERROR(VLOOKUP(Geraete__3[[#This Row],[Gerätenummer]],Ausleihen!$A$2:$D$46,2,FALSE),"")</f>
        <v>1009</v>
      </c>
      <c r="H6" s="2">
        <f>IFERROR(VLOOKUP(Geraete__3[[#This Row],[Gerätenummer]],Ausleihen!$A$2:$D$46,3,FALSE),"")</f>
        <v>45389</v>
      </c>
      <c r="I6" s="2">
        <f>IFERROR(VLOOKUP(Geraete__3[[#This Row],[Gerätenummer]],Ausleihen!$A$2:$D$46,4,FALSE),"")</f>
        <v>0</v>
      </c>
    </row>
    <row r="7" spans="1:11" x14ac:dyDescent="0.25">
      <c r="A7" s="1" t="s">
        <v>8</v>
      </c>
      <c r="B7" s="1" t="s">
        <v>46</v>
      </c>
      <c r="C7" s="1" t="s">
        <v>47</v>
      </c>
      <c r="D7" s="2">
        <v>45292</v>
      </c>
      <c r="E7">
        <v>125796</v>
      </c>
      <c r="F7" s="1" t="s">
        <v>39</v>
      </c>
      <c r="G7" s="1">
        <f>IFERROR(VLOOKUP(Geraete__3[[#This Row],[Gerätenummer]],Ausleihen!$A$2:$D$46,2,FALSE),"")</f>
        <v>1012</v>
      </c>
      <c r="H7" s="2">
        <f>IFERROR(VLOOKUP(Geraete__3[[#This Row],[Gerätenummer]],Ausleihen!$A$2:$D$46,3,FALSE),"")</f>
        <v>45808</v>
      </c>
      <c r="I7" s="2">
        <f>IFERROR(VLOOKUP(Geraete__3[[#This Row],[Gerätenummer]],Ausleihen!$A$2:$D$46,4,FALSE),"")</f>
        <v>45818</v>
      </c>
    </row>
    <row r="8" spans="1:11" x14ac:dyDescent="0.25">
      <c r="A8" s="1" t="s">
        <v>21</v>
      </c>
      <c r="B8" s="1" t="s">
        <v>42</v>
      </c>
      <c r="C8" s="1" t="s">
        <v>48</v>
      </c>
      <c r="D8" s="2">
        <v>44360</v>
      </c>
      <c r="E8">
        <v>86909</v>
      </c>
      <c r="F8" s="1" t="s">
        <v>49</v>
      </c>
      <c r="G8" s="1">
        <f>IFERROR(VLOOKUP(Geraete__3[[#This Row],[Gerätenummer]],Ausleihen!$A$2:$D$46,2,FALSE),"")</f>
        <v>1001</v>
      </c>
      <c r="H8" s="2">
        <f>IFERROR(VLOOKUP(Geraete__3[[#This Row],[Gerätenummer]],Ausleihen!$A$2:$D$46,3,FALSE),"")</f>
        <v>45544</v>
      </c>
      <c r="I8" s="2">
        <f>IFERROR(VLOOKUP(Geraete__3[[#This Row],[Gerätenummer]],Ausleihen!$A$2:$D$46,4,FALSE),"")</f>
        <v>45854</v>
      </c>
    </row>
    <row r="9" spans="1:11" x14ac:dyDescent="0.25">
      <c r="A9" s="1" t="s">
        <v>50</v>
      </c>
      <c r="B9" s="1" t="s">
        <v>51</v>
      </c>
      <c r="C9" s="1" t="s">
        <v>52</v>
      </c>
      <c r="D9" s="2">
        <v>45831</v>
      </c>
      <c r="E9">
        <v>132376</v>
      </c>
      <c r="F9" s="1" t="s">
        <v>49</v>
      </c>
      <c r="G9" s="1" t="str">
        <f>IFERROR(VLOOKUP(Geraete__3[[#This Row],[Gerätenummer]],Ausleihen!$A$2:$D$46,2,FALSE),"")</f>
        <v/>
      </c>
      <c r="H9" s="2" t="str">
        <f>IFERROR(VLOOKUP(Geraete__3[[#This Row],[Gerätenummer]],Ausleihen!$A$2:$D$46,3,FALSE),"")</f>
        <v/>
      </c>
      <c r="I9" s="2" t="str">
        <f>IFERROR(VLOOKUP(Geraete__3[[#This Row],[Gerätenummer]],Ausleihen!$A$2:$D$46,4,FALSE),"")</f>
        <v/>
      </c>
    </row>
    <row r="10" spans="1:11" x14ac:dyDescent="0.25">
      <c r="A10" s="1" t="s">
        <v>10</v>
      </c>
      <c r="B10" s="1" t="s">
        <v>42</v>
      </c>
      <c r="C10" s="1" t="s">
        <v>43</v>
      </c>
      <c r="D10" s="2">
        <v>45026</v>
      </c>
      <c r="E10">
        <v>145802</v>
      </c>
      <c r="F10" s="1" t="s">
        <v>39</v>
      </c>
      <c r="G10" s="1">
        <f>IFERROR(VLOOKUP(Geraete__3[[#This Row],[Gerätenummer]],Ausleihen!$A$2:$D$46,2,FALSE),"")</f>
        <v>1011</v>
      </c>
      <c r="H10" s="2">
        <f>IFERROR(VLOOKUP(Geraete__3[[#This Row],[Gerätenummer]],Ausleihen!$A$2:$D$46,3,FALSE),"")</f>
        <v>45850</v>
      </c>
      <c r="I10" s="2">
        <f>IFERROR(VLOOKUP(Geraete__3[[#This Row],[Gerätenummer]],Ausleihen!$A$2:$D$46,4,FALSE),"")</f>
        <v>45853</v>
      </c>
    </row>
    <row r="11" spans="1:11" x14ac:dyDescent="0.25">
      <c r="A11" s="1" t="s">
        <v>53</v>
      </c>
      <c r="B11" s="1" t="s">
        <v>42</v>
      </c>
      <c r="C11" s="1" t="s">
        <v>43</v>
      </c>
      <c r="D11" s="2">
        <v>45239</v>
      </c>
      <c r="E11">
        <v>178637</v>
      </c>
      <c r="F11" s="1" t="s">
        <v>39</v>
      </c>
      <c r="G11" s="1" t="str">
        <f>IFERROR(VLOOKUP(Geraete__3[[#This Row],[Gerätenummer]],Ausleihen!$A$2:$D$46,2,FALSE),"")</f>
        <v/>
      </c>
      <c r="H11" s="2" t="str">
        <f>IFERROR(VLOOKUP(Geraete__3[[#This Row],[Gerätenummer]],Ausleihen!$A$2:$D$46,3,FALSE),"")</f>
        <v/>
      </c>
      <c r="I11" s="2" t="str">
        <f>IFERROR(VLOOKUP(Geraete__3[[#This Row],[Gerätenummer]],Ausleihen!$A$2:$D$46,4,FALSE),"")</f>
        <v/>
      </c>
    </row>
    <row r="12" spans="1:11" x14ac:dyDescent="0.25">
      <c r="A12" s="1" t="s">
        <v>11</v>
      </c>
      <c r="B12" s="1" t="s">
        <v>44</v>
      </c>
      <c r="C12" s="1" t="s">
        <v>54</v>
      </c>
      <c r="D12" s="2">
        <v>45909</v>
      </c>
      <c r="E12">
        <v>14171</v>
      </c>
      <c r="F12" s="1" t="s">
        <v>39</v>
      </c>
      <c r="G12" s="1">
        <f>IFERROR(VLOOKUP(Geraete__3[[#This Row],[Gerätenummer]],Ausleihen!$A$2:$D$46,2,FALSE),"")</f>
        <v>1005</v>
      </c>
      <c r="H12" s="2">
        <f>IFERROR(VLOOKUP(Geraete__3[[#This Row],[Gerätenummer]],Ausleihen!$A$2:$D$46,3,FALSE),"")</f>
        <v>45837</v>
      </c>
      <c r="I12" s="2">
        <f>IFERROR(VLOOKUP(Geraete__3[[#This Row],[Gerätenummer]],Ausleihen!$A$2:$D$46,4,FALSE),"")</f>
        <v>45898</v>
      </c>
    </row>
    <row r="13" spans="1:11" x14ac:dyDescent="0.25">
      <c r="A13" s="1" t="s">
        <v>55</v>
      </c>
      <c r="B13" s="1" t="s">
        <v>34</v>
      </c>
      <c r="C13" s="1" t="s">
        <v>35</v>
      </c>
      <c r="D13" s="2">
        <v>44713</v>
      </c>
      <c r="E13">
        <v>96843</v>
      </c>
      <c r="F13" s="1" t="s">
        <v>49</v>
      </c>
      <c r="G13" s="1" t="str">
        <f>IFERROR(VLOOKUP(Geraete__3[[#This Row],[Gerätenummer]],Ausleihen!$A$2:$D$46,2,FALSE),"")</f>
        <v/>
      </c>
      <c r="H13" s="2" t="str">
        <f>IFERROR(VLOOKUP(Geraete__3[[#This Row],[Gerätenummer]],Ausleihen!$A$2:$D$46,3,FALSE),"")</f>
        <v/>
      </c>
      <c r="I13" s="2" t="str">
        <f>IFERROR(VLOOKUP(Geraete__3[[#This Row],[Gerätenummer]],Ausleihen!$A$2:$D$46,4,FALSE),"")</f>
        <v/>
      </c>
    </row>
    <row r="14" spans="1:11" x14ac:dyDescent="0.25">
      <c r="A14" s="1" t="s">
        <v>13</v>
      </c>
      <c r="B14" s="1" t="s">
        <v>44</v>
      </c>
      <c r="C14" s="1" t="s">
        <v>45</v>
      </c>
      <c r="D14" s="2">
        <v>44332</v>
      </c>
      <c r="E14">
        <v>189865</v>
      </c>
      <c r="F14" s="1" t="s">
        <v>49</v>
      </c>
      <c r="G14" s="1">
        <f>IFERROR(VLOOKUP(Geraete__3[[#This Row],[Gerätenummer]],Ausleihen!$A$2:$D$46,2,FALSE),"")</f>
        <v>1012</v>
      </c>
      <c r="H14" s="2">
        <f>IFERROR(VLOOKUP(Geraete__3[[#This Row],[Gerätenummer]],Ausleihen!$A$2:$D$46,3,FALSE),"")</f>
        <v>45419</v>
      </c>
      <c r="I14" s="2">
        <f>IFERROR(VLOOKUP(Geraete__3[[#This Row],[Gerätenummer]],Ausleihen!$A$2:$D$46,4,FALSE),"")</f>
        <v>45470</v>
      </c>
    </row>
    <row r="15" spans="1:11" x14ac:dyDescent="0.25">
      <c r="A15" s="1" t="s">
        <v>25</v>
      </c>
      <c r="B15" s="1" t="s">
        <v>42</v>
      </c>
      <c r="C15" s="1" t="s">
        <v>48</v>
      </c>
      <c r="D15" s="2">
        <v>44258</v>
      </c>
      <c r="E15">
        <v>141597</v>
      </c>
      <c r="F15" s="1" t="s">
        <v>49</v>
      </c>
      <c r="G15" s="1">
        <f>IFERROR(VLOOKUP(Geraete__3[[#This Row],[Gerätenummer]],Ausleihen!$A$2:$D$46,2,FALSE),"")</f>
        <v>1001</v>
      </c>
      <c r="H15" s="2">
        <f>IFERROR(VLOOKUP(Geraete__3[[#This Row],[Gerätenummer]],Ausleihen!$A$2:$D$46,3,FALSE),"")</f>
        <v>45622</v>
      </c>
      <c r="I15" s="2">
        <f>IFERROR(VLOOKUP(Geraete__3[[#This Row],[Gerätenummer]],Ausleihen!$A$2:$D$46,4,FALSE),"")</f>
        <v>45719</v>
      </c>
    </row>
    <row r="16" spans="1:11" x14ac:dyDescent="0.25">
      <c r="A16" s="1" t="s">
        <v>15</v>
      </c>
      <c r="B16" s="1" t="s">
        <v>46</v>
      </c>
      <c r="C16" s="1" t="s">
        <v>56</v>
      </c>
      <c r="D16" s="2">
        <v>44824</v>
      </c>
      <c r="E16">
        <v>66144</v>
      </c>
      <c r="F16" s="1" t="s">
        <v>39</v>
      </c>
      <c r="G16" s="1">
        <f>IFERROR(VLOOKUP(Geraete__3[[#This Row],[Gerätenummer]],Ausleihen!$A$2:$D$46,2,FALSE),"")</f>
        <v>1010</v>
      </c>
      <c r="H16" s="2">
        <f>IFERROR(VLOOKUP(Geraete__3[[#This Row],[Gerätenummer]],Ausleihen!$A$2:$D$46,3,FALSE),"")</f>
        <v>45377</v>
      </c>
      <c r="I16" s="2">
        <f>IFERROR(VLOOKUP(Geraete__3[[#This Row],[Gerätenummer]],Ausleihen!$A$2:$D$46,4,FALSE),"")</f>
        <v>45886</v>
      </c>
    </row>
    <row r="17" spans="1:9" x14ac:dyDescent="0.25">
      <c r="A17" s="1" t="s">
        <v>7</v>
      </c>
      <c r="B17" s="1" t="s">
        <v>44</v>
      </c>
      <c r="C17" s="1" t="s">
        <v>45</v>
      </c>
      <c r="D17" s="2">
        <v>45015</v>
      </c>
      <c r="E17">
        <v>150106</v>
      </c>
      <c r="F17" s="1" t="s">
        <v>36</v>
      </c>
      <c r="G17" s="1">
        <f>IFERROR(VLOOKUP(Geraete__3[[#This Row],[Gerätenummer]],Ausleihen!$A$2:$D$46,2,FALSE),"")</f>
        <v>1010</v>
      </c>
      <c r="H17" s="2">
        <f>IFERROR(VLOOKUP(Geraete__3[[#This Row],[Gerätenummer]],Ausleihen!$A$2:$D$46,3,FALSE),"")</f>
        <v>45866</v>
      </c>
      <c r="I17" s="2">
        <f>IFERROR(VLOOKUP(Geraete__3[[#This Row],[Gerätenummer]],Ausleihen!$A$2:$D$46,4,FALSE),"")</f>
        <v>0</v>
      </c>
    </row>
    <row r="18" spans="1:9" x14ac:dyDescent="0.25">
      <c r="A18" s="1" t="s">
        <v>57</v>
      </c>
      <c r="B18" s="1" t="s">
        <v>46</v>
      </c>
      <c r="C18" s="1" t="s">
        <v>47</v>
      </c>
      <c r="D18" s="2">
        <v>44363</v>
      </c>
      <c r="E18">
        <v>174856</v>
      </c>
      <c r="F18" s="1" t="s">
        <v>36</v>
      </c>
      <c r="G18" s="1" t="str">
        <f>IFERROR(VLOOKUP(Geraete__3[[#This Row],[Gerätenummer]],Ausleihen!$A$2:$D$46,2,FALSE),"")</f>
        <v/>
      </c>
      <c r="H18" s="2" t="str">
        <f>IFERROR(VLOOKUP(Geraete__3[[#This Row],[Gerätenummer]],Ausleihen!$A$2:$D$46,3,FALSE),"")</f>
        <v/>
      </c>
      <c r="I18" s="2" t="str">
        <f>IFERROR(VLOOKUP(Geraete__3[[#This Row],[Gerätenummer]],Ausleihen!$A$2:$D$46,4,FALSE),"")</f>
        <v/>
      </c>
    </row>
    <row r="19" spans="1:9" x14ac:dyDescent="0.25">
      <c r="A19" s="1" t="s">
        <v>17</v>
      </c>
      <c r="B19" s="1" t="s">
        <v>34</v>
      </c>
      <c r="C19" s="1" t="s">
        <v>41</v>
      </c>
      <c r="D19" s="2">
        <v>44839</v>
      </c>
      <c r="E19">
        <v>168807</v>
      </c>
      <c r="F19" s="1" t="s">
        <v>39</v>
      </c>
      <c r="G19" s="1">
        <f>IFERROR(VLOOKUP(Geraete__3[[#This Row],[Gerätenummer]],Ausleihen!$A$2:$D$46,2,FALSE),"")</f>
        <v>1011</v>
      </c>
      <c r="H19" s="2">
        <f>IFERROR(VLOOKUP(Geraete__3[[#This Row],[Gerätenummer]],Ausleihen!$A$2:$D$46,3,FALSE),"")</f>
        <v>45568</v>
      </c>
      <c r="I19" s="2">
        <f>IFERROR(VLOOKUP(Geraete__3[[#This Row],[Gerätenummer]],Ausleihen!$A$2:$D$46,4,FALSE),"")</f>
        <v>45623</v>
      </c>
    </row>
    <row r="20" spans="1:9" x14ac:dyDescent="0.25">
      <c r="A20" s="1" t="s">
        <v>58</v>
      </c>
      <c r="B20" s="1" t="s">
        <v>44</v>
      </c>
      <c r="C20" s="1" t="s">
        <v>59</v>
      </c>
      <c r="D20" s="2">
        <v>44429</v>
      </c>
      <c r="E20">
        <v>73757</v>
      </c>
      <c r="F20" s="1" t="s">
        <v>49</v>
      </c>
      <c r="G20" s="1" t="str">
        <f>IFERROR(VLOOKUP(Geraete__3[[#This Row],[Gerätenummer]],Ausleihen!$A$2:$D$46,2,FALSE),"")</f>
        <v/>
      </c>
      <c r="H20" s="2" t="str">
        <f>IFERROR(VLOOKUP(Geraete__3[[#This Row],[Gerätenummer]],Ausleihen!$A$2:$D$46,3,FALSE),"")</f>
        <v/>
      </c>
      <c r="I20" s="2" t="str">
        <f>IFERROR(VLOOKUP(Geraete__3[[#This Row],[Gerätenummer]],Ausleihen!$A$2:$D$46,4,FALSE),"")</f>
        <v/>
      </c>
    </row>
    <row r="21" spans="1:9" x14ac:dyDescent="0.25">
      <c r="A21" s="1" t="s">
        <v>60</v>
      </c>
      <c r="B21" s="1" t="s">
        <v>46</v>
      </c>
      <c r="C21" s="1" t="s">
        <v>47</v>
      </c>
      <c r="D21" s="2">
        <v>45297</v>
      </c>
      <c r="E21">
        <v>7402</v>
      </c>
      <c r="F21" s="1" t="s">
        <v>39</v>
      </c>
      <c r="G21" s="1" t="str">
        <f>IFERROR(VLOOKUP(Geraete__3[[#This Row],[Gerätenummer]],Ausleihen!$A$2:$D$46,2,FALSE),"")</f>
        <v/>
      </c>
      <c r="H21" s="2" t="str">
        <f>IFERROR(VLOOKUP(Geraete__3[[#This Row],[Gerätenummer]],Ausleihen!$A$2:$D$46,3,FALSE),"")</f>
        <v/>
      </c>
      <c r="I21" s="2" t="str">
        <f>IFERROR(VLOOKUP(Geraete__3[[#This Row],[Gerätenummer]],Ausleihen!$A$2:$D$46,4,FALSE),"")</f>
        <v/>
      </c>
    </row>
    <row r="22" spans="1:9" x14ac:dyDescent="0.25">
      <c r="A22" s="1" t="s">
        <v>5</v>
      </c>
      <c r="B22" s="1" t="s">
        <v>61</v>
      </c>
      <c r="C22" s="1" t="s">
        <v>62</v>
      </c>
      <c r="D22" s="2">
        <v>44979</v>
      </c>
      <c r="E22">
        <v>113416</v>
      </c>
      <c r="F22" s="1" t="s">
        <v>39</v>
      </c>
      <c r="G22" s="1">
        <f>IFERROR(VLOOKUP(Geraete__3[[#This Row],[Gerätenummer]],Ausleihen!$A$2:$D$46,2,FALSE),"")</f>
        <v>1008</v>
      </c>
      <c r="H22" s="2">
        <f>IFERROR(VLOOKUP(Geraete__3[[#This Row],[Gerätenummer]],Ausleihen!$A$2:$D$46,3,FALSE),"")</f>
        <v>45930</v>
      </c>
      <c r="I22" s="2">
        <f>IFERROR(VLOOKUP(Geraete__3[[#This Row],[Gerätenummer]],Ausleihen!$A$2:$D$46,4,FALSE),"")</f>
        <v>45935</v>
      </c>
    </row>
    <row r="23" spans="1:9" x14ac:dyDescent="0.25">
      <c r="A23" s="1" t="s">
        <v>16</v>
      </c>
      <c r="B23" s="1" t="s">
        <v>34</v>
      </c>
      <c r="C23" s="1" t="s">
        <v>41</v>
      </c>
      <c r="D23" s="2">
        <v>45524</v>
      </c>
      <c r="E23">
        <v>159198</v>
      </c>
      <c r="F23" s="1" t="s">
        <v>49</v>
      </c>
      <c r="G23" s="1">
        <f>IFERROR(VLOOKUP(Geraete__3[[#This Row],[Gerätenummer]],Ausleihen!$A$2:$D$46,2,FALSE),"")</f>
        <v>1002</v>
      </c>
      <c r="H23" s="2">
        <f>IFERROR(VLOOKUP(Geraete__3[[#This Row],[Gerätenummer]],Ausleihen!$A$2:$D$46,3,FALSE),"")</f>
        <v>45899</v>
      </c>
      <c r="I23" s="2">
        <f>IFERROR(VLOOKUP(Geraete__3[[#This Row],[Gerätenummer]],Ausleihen!$A$2:$D$46,4,FALSE),"")</f>
        <v>45930</v>
      </c>
    </row>
    <row r="24" spans="1:9" x14ac:dyDescent="0.25">
      <c r="A24" s="1" t="s">
        <v>63</v>
      </c>
      <c r="B24" s="1" t="s">
        <v>44</v>
      </c>
      <c r="C24" s="1" t="s">
        <v>45</v>
      </c>
      <c r="D24" s="2">
        <v>45249</v>
      </c>
      <c r="E24">
        <v>133534</v>
      </c>
      <c r="F24" s="1" t="s">
        <v>49</v>
      </c>
      <c r="G24" s="1" t="str">
        <f>IFERROR(VLOOKUP(Geraete__3[[#This Row],[Gerätenummer]],Ausleihen!$A$2:$D$46,2,FALSE),"")</f>
        <v/>
      </c>
      <c r="H24" s="2" t="str">
        <f>IFERROR(VLOOKUP(Geraete__3[[#This Row],[Gerätenummer]],Ausleihen!$A$2:$D$46,3,FALSE),"")</f>
        <v/>
      </c>
      <c r="I24" s="2" t="str">
        <f>IFERROR(VLOOKUP(Geraete__3[[#This Row],[Gerätenummer]],Ausleihen!$A$2:$D$46,4,FALSE),"")</f>
        <v/>
      </c>
    </row>
    <row r="25" spans="1:9" x14ac:dyDescent="0.25">
      <c r="A25" s="1" t="s">
        <v>6</v>
      </c>
      <c r="B25" s="1" t="s">
        <v>61</v>
      </c>
      <c r="C25" s="1" t="s">
        <v>64</v>
      </c>
      <c r="D25" s="2">
        <v>44621</v>
      </c>
      <c r="E25">
        <v>75091</v>
      </c>
      <c r="F25" s="1" t="s">
        <v>36</v>
      </c>
      <c r="G25" s="1">
        <f>IFERROR(VLOOKUP(Geraete__3[[#This Row],[Gerätenummer]],Ausleihen!$A$2:$D$46,2,FALSE),"")</f>
        <v>1005</v>
      </c>
      <c r="H25" s="2">
        <f>IFERROR(VLOOKUP(Geraete__3[[#This Row],[Gerätenummer]],Ausleihen!$A$2:$D$46,3,FALSE),"")</f>
        <v>45743</v>
      </c>
      <c r="I25" s="2">
        <f>IFERROR(VLOOKUP(Geraete__3[[#This Row],[Gerätenummer]],Ausleihen!$A$2:$D$46,4,FALSE),"")</f>
        <v>45868</v>
      </c>
    </row>
    <row r="26" spans="1:9" x14ac:dyDescent="0.25">
      <c r="A26" s="1" t="s">
        <v>23</v>
      </c>
      <c r="B26" s="1" t="s">
        <v>51</v>
      </c>
      <c r="C26" s="1" t="s">
        <v>52</v>
      </c>
      <c r="D26" s="2">
        <v>45266</v>
      </c>
      <c r="E26">
        <v>54546</v>
      </c>
      <c r="F26" s="1" t="s">
        <v>36</v>
      </c>
      <c r="G26" s="1">
        <f>IFERROR(VLOOKUP(Geraete__3[[#This Row],[Gerätenummer]],Ausleihen!$A$2:$D$46,2,FALSE),"")</f>
        <v>1005</v>
      </c>
      <c r="H26" s="2">
        <f>IFERROR(VLOOKUP(Geraete__3[[#This Row],[Gerätenummer]],Ausleihen!$A$2:$D$46,3,FALSE),"")</f>
        <v>45675</v>
      </c>
      <c r="I26" s="2">
        <f>IFERROR(VLOOKUP(Geraete__3[[#This Row],[Gerätenummer]],Ausleihen!$A$2:$D$46,4,FALSE),"")</f>
        <v>0</v>
      </c>
    </row>
    <row r="27" spans="1:9" x14ac:dyDescent="0.25">
      <c r="A27" s="1" t="s">
        <v>65</v>
      </c>
      <c r="B27" s="1" t="s">
        <v>42</v>
      </c>
      <c r="C27" s="1" t="s">
        <v>43</v>
      </c>
      <c r="D27" s="2">
        <v>45219</v>
      </c>
      <c r="E27">
        <v>140391</v>
      </c>
      <c r="F27" s="1" t="s">
        <v>49</v>
      </c>
      <c r="G27" s="1" t="str">
        <f>IFERROR(VLOOKUP(Geraete__3[[#This Row],[Gerätenummer]],Ausleihen!$A$2:$D$46,2,FALSE),"")</f>
        <v/>
      </c>
      <c r="H27" s="2" t="str">
        <f>IFERROR(VLOOKUP(Geraete__3[[#This Row],[Gerätenummer]],Ausleihen!$A$2:$D$46,3,FALSE),"")</f>
        <v/>
      </c>
      <c r="I27" s="2" t="str">
        <f>IFERROR(VLOOKUP(Geraete__3[[#This Row],[Gerätenummer]],Ausleihen!$A$2:$D$46,4,FALSE),"")</f>
        <v/>
      </c>
    </row>
    <row r="28" spans="1:9" x14ac:dyDescent="0.25">
      <c r="A28" s="1" t="s">
        <v>19</v>
      </c>
      <c r="B28" s="1" t="s">
        <v>61</v>
      </c>
      <c r="C28" s="1" t="s">
        <v>62</v>
      </c>
      <c r="D28" s="2">
        <v>44766</v>
      </c>
      <c r="E28">
        <v>50164</v>
      </c>
      <c r="F28" s="1" t="s">
        <v>39</v>
      </c>
      <c r="G28" s="1">
        <f>IFERROR(VLOOKUP(Geraete__3[[#This Row],[Gerätenummer]],Ausleihen!$A$2:$D$46,2,FALSE),"")</f>
        <v>1004</v>
      </c>
      <c r="H28" s="2">
        <f>IFERROR(VLOOKUP(Geraete__3[[#This Row],[Gerätenummer]],Ausleihen!$A$2:$D$46,3,FALSE),"")</f>
        <v>45403</v>
      </c>
      <c r="I28" s="2">
        <f>IFERROR(VLOOKUP(Geraete__3[[#This Row],[Gerätenummer]],Ausleihen!$A$2:$D$46,4,FALSE),"")</f>
        <v>45839</v>
      </c>
    </row>
    <row r="29" spans="1:9" x14ac:dyDescent="0.25">
      <c r="A29" s="1" t="s">
        <v>12</v>
      </c>
      <c r="B29" s="1" t="s">
        <v>51</v>
      </c>
      <c r="C29" s="1" t="s">
        <v>52</v>
      </c>
      <c r="D29" s="2">
        <v>44945</v>
      </c>
      <c r="E29">
        <v>124658</v>
      </c>
      <c r="F29" s="1" t="s">
        <v>49</v>
      </c>
      <c r="G29" s="1">
        <f>IFERROR(VLOOKUP(Geraete__3[[#This Row],[Gerätenummer]],Ausleihen!$A$2:$D$46,2,FALSE),"")</f>
        <v>1004</v>
      </c>
      <c r="H29" s="2">
        <f>IFERROR(VLOOKUP(Geraete__3[[#This Row],[Gerätenummer]],Ausleihen!$A$2:$D$46,3,FALSE),"")</f>
        <v>45523</v>
      </c>
      <c r="I29" s="2">
        <f>IFERROR(VLOOKUP(Geraete__3[[#This Row],[Gerätenummer]],Ausleihen!$A$2:$D$46,4,FALSE),"")</f>
        <v>0</v>
      </c>
    </row>
    <row r="30" spans="1:9" x14ac:dyDescent="0.25">
      <c r="A30" s="1" t="s">
        <v>14</v>
      </c>
      <c r="B30" s="1" t="s">
        <v>42</v>
      </c>
      <c r="C30" s="1" t="s">
        <v>48</v>
      </c>
      <c r="D30" s="2">
        <v>44337</v>
      </c>
      <c r="E30">
        <v>155315</v>
      </c>
      <c r="F30" s="1" t="s">
        <v>49</v>
      </c>
      <c r="G30" s="1">
        <f>IFERROR(VLOOKUP(Geraete__3[[#This Row],[Gerätenummer]],Ausleihen!$A$2:$D$46,2,FALSE),"")</f>
        <v>1002</v>
      </c>
      <c r="H30" s="2">
        <f>IFERROR(VLOOKUP(Geraete__3[[#This Row],[Gerätenummer]],Ausleihen!$A$2:$D$46,3,FALSE),"")</f>
        <v>45921</v>
      </c>
      <c r="I30" s="2">
        <f>IFERROR(VLOOKUP(Geraete__3[[#This Row],[Gerätenummer]],Ausleihen!$A$2:$D$46,4,FALSE),"")</f>
        <v>45934</v>
      </c>
    </row>
    <row r="31" spans="1:9" x14ac:dyDescent="0.25">
      <c r="A31" s="1" t="s">
        <v>20</v>
      </c>
      <c r="B31" s="1" t="s">
        <v>51</v>
      </c>
      <c r="C31" s="1" t="s">
        <v>52</v>
      </c>
      <c r="D31" s="2">
        <v>44647</v>
      </c>
      <c r="E31">
        <v>162976</v>
      </c>
      <c r="F31" s="1" t="s">
        <v>39</v>
      </c>
      <c r="G31" s="1">
        <f>IFERROR(VLOOKUP(Geraete__3[[#This Row],[Gerätenummer]],Ausleihen!$A$2:$D$46,2,FALSE),"")</f>
        <v>1012</v>
      </c>
      <c r="H31" s="2">
        <f>IFERROR(VLOOKUP(Geraete__3[[#This Row],[Gerätenummer]],Ausleihen!$A$2:$D$46,3,FALSE),"")</f>
        <v>45792</v>
      </c>
      <c r="I31" s="2">
        <f>IFERROR(VLOOKUP(Geraete__3[[#This Row],[Gerätenummer]],Ausleihen!$A$2:$D$46,4,FALSE),"")</f>
        <v>45905</v>
      </c>
    </row>
    <row r="32" spans="1:9" x14ac:dyDescent="0.25">
      <c r="A32" s="1" t="s">
        <v>18</v>
      </c>
      <c r="B32" s="1" t="s">
        <v>42</v>
      </c>
      <c r="C32" s="1" t="s">
        <v>66</v>
      </c>
      <c r="D32" s="2">
        <v>45775</v>
      </c>
      <c r="E32">
        <v>109562</v>
      </c>
      <c r="F32" s="1" t="s">
        <v>39</v>
      </c>
      <c r="G32" s="1">
        <f>IFERROR(VLOOKUP(Geraete__3[[#This Row],[Gerätenummer]],Ausleihen!$A$2:$D$46,2,FALSE),"")</f>
        <v>1004</v>
      </c>
      <c r="H32" s="2">
        <f>IFERROR(VLOOKUP(Geraete__3[[#This Row],[Gerätenummer]],Ausleihen!$A$2:$D$46,3,FALSE),"")</f>
        <v>45320</v>
      </c>
      <c r="I32" s="2">
        <f>IFERROR(VLOOKUP(Geraete__3[[#This Row],[Gerätenummer]],Ausleihen!$A$2:$D$46,4,FALSE),"")</f>
        <v>0</v>
      </c>
    </row>
    <row r="33" spans="1:9" x14ac:dyDescent="0.25">
      <c r="A33" s="1" t="s">
        <v>24</v>
      </c>
      <c r="B33" s="1" t="s">
        <v>42</v>
      </c>
      <c r="C33" s="1" t="s">
        <v>48</v>
      </c>
      <c r="D33" s="2">
        <v>44876</v>
      </c>
      <c r="E33">
        <v>180136</v>
      </c>
      <c r="F33" s="1" t="s">
        <v>39</v>
      </c>
      <c r="G33" s="1">
        <f>IFERROR(VLOOKUP(Geraete__3[[#This Row],[Gerätenummer]],Ausleihen!$A$2:$D$46,2,FALSE),"")</f>
        <v>1003</v>
      </c>
      <c r="H33" s="2">
        <f>IFERROR(VLOOKUP(Geraete__3[[#This Row],[Gerätenummer]],Ausleihen!$A$2:$D$46,3,FALSE),"")</f>
        <v>45508</v>
      </c>
      <c r="I33" s="2">
        <f>IFERROR(VLOOKUP(Geraete__3[[#This Row],[Gerätenummer]],Ausleihen!$A$2:$D$46,4,FALSE),"")</f>
        <v>45871</v>
      </c>
    </row>
    <row r="34" spans="1:9" x14ac:dyDescent="0.25">
      <c r="A34" s="1" t="s">
        <v>26</v>
      </c>
      <c r="B34" s="1" t="s">
        <v>51</v>
      </c>
      <c r="C34" s="1" t="s">
        <v>67</v>
      </c>
      <c r="D34" s="2">
        <v>44623</v>
      </c>
      <c r="E34">
        <v>121229</v>
      </c>
      <c r="F34" s="1" t="s">
        <v>36</v>
      </c>
      <c r="G34" s="1">
        <f>IFERROR(VLOOKUP(Geraete__3[[#This Row],[Gerätenummer]],Ausleihen!$A$2:$D$46,2,FALSE),"")</f>
        <v>1009</v>
      </c>
      <c r="H34" s="2">
        <f>IFERROR(VLOOKUP(Geraete__3[[#This Row],[Gerätenummer]],Ausleihen!$A$2:$D$46,3,FALSE),"")</f>
        <v>45740</v>
      </c>
      <c r="I34" s="2">
        <f>IFERROR(VLOOKUP(Geraete__3[[#This Row],[Gerätenummer]],Ausleihen!$A$2:$D$46,4,FALSE),"")</f>
        <v>45784</v>
      </c>
    </row>
    <row r="35" spans="1:9" x14ac:dyDescent="0.25">
      <c r="A35" s="1" t="s">
        <v>68</v>
      </c>
      <c r="B35" s="1" t="s">
        <v>46</v>
      </c>
      <c r="C35" s="1" t="s">
        <v>47</v>
      </c>
      <c r="D35" s="2">
        <v>45552</v>
      </c>
      <c r="E35">
        <v>174667</v>
      </c>
      <c r="F35" s="1" t="s">
        <v>49</v>
      </c>
      <c r="G35" s="1" t="str">
        <f>IFERROR(VLOOKUP(Geraete__3[[#This Row],[Gerätenummer]],Ausleihen!$A$2:$D$46,2,FALSE),"")</f>
        <v/>
      </c>
      <c r="H35" s="2" t="str">
        <f>IFERROR(VLOOKUP(Geraete__3[[#This Row],[Gerätenummer]],Ausleihen!$A$2:$D$46,3,FALSE),"")</f>
        <v/>
      </c>
      <c r="I35" s="2" t="str">
        <f>IFERROR(VLOOKUP(Geraete__3[[#This Row],[Gerätenummer]],Ausleihen!$A$2:$D$46,4,FALSE),"")</f>
        <v/>
      </c>
    </row>
    <row r="36" spans="1:9" x14ac:dyDescent="0.25">
      <c r="A36" s="1" t="s">
        <v>4</v>
      </c>
      <c r="B36" s="1" t="s">
        <v>51</v>
      </c>
      <c r="C36" s="1" t="s">
        <v>67</v>
      </c>
      <c r="D36" s="2">
        <v>45294</v>
      </c>
      <c r="E36">
        <v>64454</v>
      </c>
      <c r="F36" s="1" t="s">
        <v>36</v>
      </c>
      <c r="G36" s="1">
        <f>IFERROR(VLOOKUP(Geraete__3[[#This Row],[Gerätenummer]],Ausleihen!$A$2:$D$46,2,FALSE),"")</f>
        <v>1009</v>
      </c>
      <c r="H36" s="2">
        <f>IFERROR(VLOOKUP(Geraete__3[[#This Row],[Gerätenummer]],Ausleihen!$A$2:$D$46,3,FALSE),"")</f>
        <v>45421</v>
      </c>
      <c r="I36" s="2">
        <f>IFERROR(VLOOKUP(Geraete__3[[#This Row],[Gerätenummer]],Ausleihen!$A$2:$D$46,4,FALSE),"")</f>
        <v>0</v>
      </c>
    </row>
    <row r="37" spans="1:9" x14ac:dyDescent="0.25">
      <c r="A37" s="1" t="s">
        <v>27</v>
      </c>
      <c r="B37" s="1" t="s">
        <v>27</v>
      </c>
      <c r="C37" s="1" t="s">
        <v>27</v>
      </c>
      <c r="D37" s="2"/>
      <c r="F37" s="1" t="s">
        <v>27</v>
      </c>
      <c r="G37" s="1" t="str">
        <f>IFERROR(VLOOKUP(Geraete__3[[#This Row],[Gerätenummer]],Ausleihen!$A$2:$D$46,2,FALSE),"")</f>
        <v/>
      </c>
      <c r="H37" s="2" t="str">
        <f>IFERROR(VLOOKUP(Geraete__3[[#This Row],[Gerätenummer]],Ausleihen!$A$2:$D$46,3,FALSE),"")</f>
        <v/>
      </c>
      <c r="I37" s="2" t="str">
        <f>IFERROR(VLOOKUP(Geraete__3[[#This Row],[Gerätenummer]],Ausleihen!$A$2:$D$46,4,FALSE),"")</f>
        <v/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2C8E2-62B8-4B34-9D3B-26656E43B5B9}">
  <dimension ref="A1:D13"/>
  <sheetViews>
    <sheetView workbookViewId="0">
      <selection activeCell="B29" sqref="B29"/>
    </sheetView>
  </sheetViews>
  <sheetFormatPr baseColWidth="10" defaultRowHeight="14.3" x14ac:dyDescent="0.25"/>
  <cols>
    <col min="1" max="1" width="15.375" bestFit="1" customWidth="1"/>
    <col min="2" max="2" width="31.375" bestFit="1" customWidth="1"/>
    <col min="3" max="3" width="11.5" bestFit="1" customWidth="1"/>
    <col min="4" max="4" width="10.75" bestFit="1" customWidth="1"/>
  </cols>
  <sheetData>
    <row r="1" spans="1:4" x14ac:dyDescent="0.25">
      <c r="A1" t="s">
        <v>1</v>
      </c>
      <c r="B1" t="s">
        <v>69</v>
      </c>
      <c r="C1" t="s">
        <v>70</v>
      </c>
      <c r="D1" t="s">
        <v>32</v>
      </c>
    </row>
    <row r="2" spans="1:4" x14ac:dyDescent="0.25">
      <c r="A2">
        <v>1001</v>
      </c>
      <c r="B2" s="1" t="s">
        <v>71</v>
      </c>
      <c r="C2" s="1" t="s">
        <v>72</v>
      </c>
      <c r="D2" s="1" t="s">
        <v>36</v>
      </c>
    </row>
    <row r="3" spans="1:4" x14ac:dyDescent="0.25">
      <c r="A3">
        <v>1002</v>
      </c>
      <c r="B3" s="1" t="s">
        <v>73</v>
      </c>
      <c r="C3" s="1" t="s">
        <v>72</v>
      </c>
      <c r="D3" s="1" t="s">
        <v>36</v>
      </c>
    </row>
    <row r="4" spans="1:4" x14ac:dyDescent="0.25">
      <c r="A4">
        <v>1003</v>
      </c>
      <c r="B4" s="1" t="s">
        <v>74</v>
      </c>
      <c r="C4" s="1" t="s">
        <v>75</v>
      </c>
      <c r="D4" s="1" t="s">
        <v>49</v>
      </c>
    </row>
    <row r="5" spans="1:4" x14ac:dyDescent="0.25">
      <c r="A5">
        <v>1004</v>
      </c>
      <c r="B5" s="1" t="s">
        <v>76</v>
      </c>
      <c r="C5" s="1" t="s">
        <v>77</v>
      </c>
      <c r="D5" s="1" t="s">
        <v>49</v>
      </c>
    </row>
    <row r="6" spans="1:4" x14ac:dyDescent="0.25">
      <c r="A6">
        <v>1005</v>
      </c>
      <c r="B6" s="1" t="s">
        <v>78</v>
      </c>
      <c r="C6" s="1" t="s">
        <v>77</v>
      </c>
      <c r="D6" s="1" t="s">
        <v>36</v>
      </c>
    </row>
    <row r="7" spans="1:4" x14ac:dyDescent="0.25">
      <c r="A7">
        <v>1006</v>
      </c>
      <c r="B7" s="1" t="s">
        <v>79</v>
      </c>
      <c r="C7" s="1" t="s">
        <v>77</v>
      </c>
      <c r="D7" s="1" t="s">
        <v>49</v>
      </c>
    </row>
    <row r="8" spans="1:4" x14ac:dyDescent="0.25">
      <c r="A8">
        <v>1007</v>
      </c>
      <c r="B8" s="1" t="s">
        <v>80</v>
      </c>
      <c r="C8" s="1" t="s">
        <v>72</v>
      </c>
      <c r="D8" s="1" t="s">
        <v>36</v>
      </c>
    </row>
    <row r="9" spans="1:4" x14ac:dyDescent="0.25">
      <c r="A9">
        <v>1008</v>
      </c>
      <c r="B9" s="1" t="s">
        <v>81</v>
      </c>
      <c r="C9" s="1" t="s">
        <v>72</v>
      </c>
      <c r="D9" s="1" t="s">
        <v>49</v>
      </c>
    </row>
    <row r="10" spans="1:4" x14ac:dyDescent="0.25">
      <c r="A10">
        <v>1009</v>
      </c>
      <c r="B10" s="1" t="s">
        <v>82</v>
      </c>
      <c r="C10" s="1" t="s">
        <v>83</v>
      </c>
      <c r="D10" s="1" t="s">
        <v>49</v>
      </c>
    </row>
    <row r="11" spans="1:4" x14ac:dyDescent="0.25">
      <c r="A11">
        <v>1010</v>
      </c>
      <c r="B11" s="1" t="s">
        <v>84</v>
      </c>
      <c r="C11" s="1" t="s">
        <v>72</v>
      </c>
      <c r="D11" s="1" t="s">
        <v>49</v>
      </c>
    </row>
    <row r="12" spans="1:4" x14ac:dyDescent="0.25">
      <c r="A12">
        <v>1011</v>
      </c>
      <c r="B12" s="1" t="s">
        <v>85</v>
      </c>
      <c r="C12" s="1" t="s">
        <v>72</v>
      </c>
      <c r="D12" s="1" t="s">
        <v>49</v>
      </c>
    </row>
    <row r="13" spans="1:4" x14ac:dyDescent="0.25">
      <c r="A13">
        <v>1012</v>
      </c>
      <c r="B13" s="1" t="s">
        <v>86</v>
      </c>
      <c r="C13" s="1" t="s">
        <v>72</v>
      </c>
      <c r="D13" s="1" t="s">
        <v>39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4E328-B946-450D-BDD9-73A9DC730F81}">
  <dimension ref="A1:B1"/>
  <sheetViews>
    <sheetView workbookViewId="0"/>
  </sheetViews>
  <sheetFormatPr baseColWidth="10" defaultRowHeight="14.3" x14ac:dyDescent="0.25"/>
  <cols>
    <col min="1" max="1" width="11.75" bestFit="1" customWidth="1"/>
    <col min="2" max="2" width="7.5" bestFit="1" customWidth="1"/>
  </cols>
  <sheetData>
    <row r="1" spans="1:2" x14ac:dyDescent="0.25">
      <c r="A1" s="13" t="s">
        <v>3</v>
      </c>
      <c r="B1" t="s">
        <v>89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3F108-3108-4389-8D5C-79CE3A7D1A0C}">
  <dimension ref="A3:A4"/>
  <sheetViews>
    <sheetView workbookViewId="0">
      <selection activeCell="A4" sqref="A4"/>
    </sheetView>
  </sheetViews>
  <sheetFormatPr baseColWidth="10" defaultRowHeight="14.3" x14ac:dyDescent="0.25"/>
  <cols>
    <col min="1" max="1" width="25.375" bestFit="1" customWidth="1"/>
  </cols>
  <sheetData>
    <row r="3" spans="1:1" x14ac:dyDescent="0.25">
      <c r="A3" t="s">
        <v>88</v>
      </c>
    </row>
    <row r="4" spans="1:1" x14ac:dyDescent="0.25">
      <c r="A4" s="12">
        <v>4190571</v>
      </c>
    </row>
  </sheetData>
  <pageMargins left="0.7" right="0.7" top="0.78740157499999996" bottom="0.78740157499999996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3A15-CD35-46A6-9442-DFA364F02C02}">
  <dimension ref="A1:G59"/>
  <sheetViews>
    <sheetView workbookViewId="0">
      <selection activeCell="H22" sqref="H22"/>
    </sheetView>
  </sheetViews>
  <sheetFormatPr baseColWidth="10" defaultRowHeight="14.3" x14ac:dyDescent="0.25"/>
  <cols>
    <col min="1" max="1" width="16.125" bestFit="1" customWidth="1"/>
    <col min="2" max="2" width="11.75" bestFit="1" customWidth="1"/>
    <col min="3" max="3" width="14.5" bestFit="1" customWidth="1"/>
    <col min="4" max="4" width="12.625" bestFit="1" customWidth="1"/>
    <col min="5" max="5" width="16.75" bestFit="1" customWidth="1"/>
    <col min="6" max="6" width="10.75" bestFit="1" customWidth="1"/>
    <col min="7" max="7" width="24.5" bestFit="1" customWidth="1"/>
  </cols>
  <sheetData>
    <row r="1" spans="1:7" x14ac:dyDescent="0.25">
      <c r="A1" t="s">
        <v>0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87</v>
      </c>
    </row>
    <row r="2" spans="1:7" x14ac:dyDescent="0.25">
      <c r="A2" s="1" t="s">
        <v>4</v>
      </c>
      <c r="B2" s="1" t="s">
        <v>51</v>
      </c>
      <c r="C2" s="1" t="s">
        <v>67</v>
      </c>
      <c r="D2" s="2">
        <v>45294</v>
      </c>
      <c r="E2">
        <v>64454</v>
      </c>
      <c r="F2" s="1" t="s">
        <v>36</v>
      </c>
      <c r="G2" s="1">
        <v>1009</v>
      </c>
    </row>
    <row r="3" spans="1:7" x14ac:dyDescent="0.25">
      <c r="A3" s="1" t="s">
        <v>4</v>
      </c>
      <c r="B3" s="1" t="s">
        <v>51</v>
      </c>
      <c r="C3" s="1" t="s">
        <v>67</v>
      </c>
      <c r="D3" s="2">
        <v>45294</v>
      </c>
      <c r="E3">
        <v>64454</v>
      </c>
      <c r="F3" s="1" t="s">
        <v>36</v>
      </c>
      <c r="G3" s="1">
        <v>1003</v>
      </c>
    </row>
    <row r="4" spans="1:7" x14ac:dyDescent="0.25">
      <c r="A4" s="1" t="s">
        <v>4</v>
      </c>
      <c r="B4" s="1" t="s">
        <v>51</v>
      </c>
      <c r="C4" s="1" t="s">
        <v>67</v>
      </c>
      <c r="D4" s="2">
        <v>45294</v>
      </c>
      <c r="E4">
        <v>64454</v>
      </c>
      <c r="F4" s="1" t="s">
        <v>36</v>
      </c>
      <c r="G4" s="1">
        <v>1001</v>
      </c>
    </row>
    <row r="5" spans="1:7" x14ac:dyDescent="0.25">
      <c r="A5" s="1" t="s">
        <v>5</v>
      </c>
      <c r="B5" s="1" t="s">
        <v>61</v>
      </c>
      <c r="C5" s="1" t="s">
        <v>62</v>
      </c>
      <c r="D5" s="2">
        <v>44979</v>
      </c>
      <c r="E5">
        <v>113416</v>
      </c>
      <c r="F5" s="1" t="s">
        <v>39</v>
      </c>
      <c r="G5" s="1">
        <v>1008</v>
      </c>
    </row>
    <row r="6" spans="1:7" x14ac:dyDescent="0.25">
      <c r="A6" s="1" t="s">
        <v>6</v>
      </c>
      <c r="B6" s="1" t="s">
        <v>61</v>
      </c>
      <c r="C6" s="1" t="s">
        <v>64</v>
      </c>
      <c r="D6" s="2">
        <v>44621</v>
      </c>
      <c r="E6">
        <v>75091</v>
      </c>
      <c r="F6" s="1" t="s">
        <v>36</v>
      </c>
      <c r="G6" s="1">
        <v>1005</v>
      </c>
    </row>
    <row r="7" spans="1:7" x14ac:dyDescent="0.25">
      <c r="A7" s="1" t="s">
        <v>6</v>
      </c>
      <c r="B7" s="1" t="s">
        <v>61</v>
      </c>
      <c r="C7" s="1" t="s">
        <v>64</v>
      </c>
      <c r="D7" s="2">
        <v>44621</v>
      </c>
      <c r="E7">
        <v>75091</v>
      </c>
      <c r="F7" s="1" t="s">
        <v>36</v>
      </c>
      <c r="G7" s="1">
        <v>1008</v>
      </c>
    </row>
    <row r="8" spans="1:7" x14ac:dyDescent="0.25">
      <c r="A8" s="1" t="s">
        <v>22</v>
      </c>
      <c r="B8" s="1" t="s">
        <v>42</v>
      </c>
      <c r="C8" s="1" t="s">
        <v>43</v>
      </c>
      <c r="D8" s="2">
        <v>45782</v>
      </c>
      <c r="E8">
        <v>100788</v>
      </c>
      <c r="F8" s="1" t="s">
        <v>39</v>
      </c>
      <c r="G8" s="1">
        <v>1003</v>
      </c>
    </row>
    <row r="9" spans="1:7" x14ac:dyDescent="0.25">
      <c r="A9" s="1" t="s">
        <v>7</v>
      </c>
      <c r="B9" s="1" t="s">
        <v>44</v>
      </c>
      <c r="C9" s="1" t="s">
        <v>45</v>
      </c>
      <c r="D9" s="2">
        <v>45015</v>
      </c>
      <c r="E9">
        <v>150106</v>
      </c>
      <c r="F9" s="1" t="s">
        <v>36</v>
      </c>
      <c r="G9" s="1">
        <v>1010</v>
      </c>
    </row>
    <row r="10" spans="1:7" x14ac:dyDescent="0.25">
      <c r="A10" s="1" t="s">
        <v>7</v>
      </c>
      <c r="B10" s="1" t="s">
        <v>44</v>
      </c>
      <c r="C10" s="1" t="s">
        <v>45</v>
      </c>
      <c r="D10" s="2">
        <v>45015</v>
      </c>
      <c r="E10">
        <v>150106</v>
      </c>
      <c r="F10" s="1" t="s">
        <v>36</v>
      </c>
      <c r="G10" s="1">
        <v>1002</v>
      </c>
    </row>
    <row r="11" spans="1:7" x14ac:dyDescent="0.25">
      <c r="A11" s="1" t="s">
        <v>7</v>
      </c>
      <c r="B11" s="1" t="s">
        <v>44</v>
      </c>
      <c r="C11" s="1" t="s">
        <v>45</v>
      </c>
      <c r="D11" s="2">
        <v>45015</v>
      </c>
      <c r="E11">
        <v>150106</v>
      </c>
      <c r="F11" s="1" t="s">
        <v>36</v>
      </c>
      <c r="G11" s="1">
        <v>1003</v>
      </c>
    </row>
    <row r="12" spans="1:7" x14ac:dyDescent="0.25">
      <c r="A12" s="1" t="s">
        <v>9</v>
      </c>
      <c r="B12" s="1" t="s">
        <v>44</v>
      </c>
      <c r="C12" s="1" t="s">
        <v>45</v>
      </c>
      <c r="D12" s="2">
        <v>44503</v>
      </c>
      <c r="E12">
        <v>82323</v>
      </c>
      <c r="F12" s="1" t="s">
        <v>36</v>
      </c>
      <c r="G12" s="1">
        <v>1009</v>
      </c>
    </row>
    <row r="13" spans="1:7" x14ac:dyDescent="0.25">
      <c r="A13" s="1" t="s">
        <v>9</v>
      </c>
      <c r="B13" s="1" t="s">
        <v>44</v>
      </c>
      <c r="C13" s="1" t="s">
        <v>45</v>
      </c>
      <c r="D13" s="2">
        <v>44503</v>
      </c>
      <c r="E13">
        <v>82323</v>
      </c>
      <c r="F13" s="1" t="s">
        <v>36</v>
      </c>
      <c r="G13" s="1">
        <v>1006</v>
      </c>
    </row>
    <row r="14" spans="1:7" x14ac:dyDescent="0.25">
      <c r="A14" s="1" t="s">
        <v>9</v>
      </c>
      <c r="B14" s="1" t="s">
        <v>44</v>
      </c>
      <c r="C14" s="1" t="s">
        <v>45</v>
      </c>
      <c r="D14" s="2">
        <v>44503</v>
      </c>
      <c r="E14">
        <v>82323</v>
      </c>
      <c r="F14" s="1" t="s">
        <v>36</v>
      </c>
      <c r="G14" s="1">
        <v>1012</v>
      </c>
    </row>
    <row r="15" spans="1:7" x14ac:dyDescent="0.25">
      <c r="A15" s="1" t="s">
        <v>8</v>
      </c>
      <c r="B15" s="1" t="s">
        <v>46</v>
      </c>
      <c r="C15" s="1" t="s">
        <v>47</v>
      </c>
      <c r="D15" s="2">
        <v>45292</v>
      </c>
      <c r="E15">
        <v>125796</v>
      </c>
      <c r="F15" s="1" t="s">
        <v>39</v>
      </c>
      <c r="G15" s="1">
        <v>1012</v>
      </c>
    </row>
    <row r="16" spans="1:7" x14ac:dyDescent="0.25">
      <c r="A16" s="1" t="s">
        <v>21</v>
      </c>
      <c r="B16" s="1" t="s">
        <v>42</v>
      </c>
      <c r="C16" s="1" t="s">
        <v>48</v>
      </c>
      <c r="D16" s="2">
        <v>44360</v>
      </c>
      <c r="E16">
        <v>86909</v>
      </c>
      <c r="F16" s="1" t="s">
        <v>49</v>
      </c>
      <c r="G16" s="1">
        <v>1001</v>
      </c>
    </row>
    <row r="17" spans="1:7" x14ac:dyDescent="0.25">
      <c r="A17" s="1" t="s">
        <v>21</v>
      </c>
      <c r="B17" s="1" t="s">
        <v>42</v>
      </c>
      <c r="C17" s="1" t="s">
        <v>48</v>
      </c>
      <c r="D17" s="2">
        <v>44360</v>
      </c>
      <c r="E17">
        <v>86909</v>
      </c>
      <c r="F17" s="1" t="s">
        <v>49</v>
      </c>
      <c r="G17" s="1">
        <v>1001</v>
      </c>
    </row>
    <row r="18" spans="1:7" x14ac:dyDescent="0.25">
      <c r="A18" s="1" t="s">
        <v>10</v>
      </c>
      <c r="B18" s="1" t="s">
        <v>42</v>
      </c>
      <c r="C18" s="1" t="s">
        <v>43</v>
      </c>
      <c r="D18" s="2">
        <v>45026</v>
      </c>
      <c r="E18">
        <v>145802</v>
      </c>
      <c r="F18" s="1" t="s">
        <v>39</v>
      </c>
      <c r="G18" s="1">
        <v>1011</v>
      </c>
    </row>
    <row r="19" spans="1:7" x14ac:dyDescent="0.25">
      <c r="A19" s="1" t="s">
        <v>11</v>
      </c>
      <c r="B19" s="1" t="s">
        <v>44</v>
      </c>
      <c r="C19" s="1" t="s">
        <v>54</v>
      </c>
      <c r="D19" s="2">
        <v>45909</v>
      </c>
      <c r="E19">
        <v>14171</v>
      </c>
      <c r="F19" s="1" t="s">
        <v>39</v>
      </c>
      <c r="G19" s="1">
        <v>1005</v>
      </c>
    </row>
    <row r="20" spans="1:7" x14ac:dyDescent="0.25">
      <c r="A20" s="1" t="s">
        <v>12</v>
      </c>
      <c r="B20" s="1" t="s">
        <v>51</v>
      </c>
      <c r="C20" s="1" t="s">
        <v>52</v>
      </c>
      <c r="D20" s="2">
        <v>44945</v>
      </c>
      <c r="E20">
        <v>124658</v>
      </c>
      <c r="F20" s="1" t="s">
        <v>49</v>
      </c>
      <c r="G20" s="1">
        <v>1004</v>
      </c>
    </row>
    <row r="21" spans="1:7" x14ac:dyDescent="0.25">
      <c r="A21" s="1" t="s">
        <v>12</v>
      </c>
      <c r="B21" s="1" t="s">
        <v>51</v>
      </c>
      <c r="C21" s="1" t="s">
        <v>52</v>
      </c>
      <c r="D21" s="2">
        <v>44945</v>
      </c>
      <c r="E21">
        <v>124658</v>
      </c>
      <c r="F21" s="1" t="s">
        <v>49</v>
      </c>
      <c r="G21" s="1">
        <v>1006</v>
      </c>
    </row>
    <row r="22" spans="1:7" x14ac:dyDescent="0.25">
      <c r="A22" s="1" t="s">
        <v>12</v>
      </c>
      <c r="B22" s="1" t="s">
        <v>51</v>
      </c>
      <c r="C22" s="1" t="s">
        <v>52</v>
      </c>
      <c r="D22" s="2">
        <v>44945</v>
      </c>
      <c r="E22">
        <v>124658</v>
      </c>
      <c r="F22" s="1" t="s">
        <v>49</v>
      </c>
      <c r="G22" s="1">
        <v>1003</v>
      </c>
    </row>
    <row r="23" spans="1:7" x14ac:dyDescent="0.25">
      <c r="A23" s="1" t="s">
        <v>13</v>
      </c>
      <c r="B23" s="1" t="s">
        <v>44</v>
      </c>
      <c r="C23" s="1" t="s">
        <v>45</v>
      </c>
      <c r="D23" s="2">
        <v>44332</v>
      </c>
      <c r="E23">
        <v>189865</v>
      </c>
      <c r="F23" s="1" t="s">
        <v>49</v>
      </c>
      <c r="G23" s="1">
        <v>1012</v>
      </c>
    </row>
    <row r="24" spans="1:7" x14ac:dyDescent="0.25">
      <c r="A24" s="1" t="s">
        <v>13</v>
      </c>
      <c r="B24" s="1" t="s">
        <v>44</v>
      </c>
      <c r="C24" s="1" t="s">
        <v>45</v>
      </c>
      <c r="D24" s="2">
        <v>44332</v>
      </c>
      <c r="E24">
        <v>189865</v>
      </c>
      <c r="F24" s="1" t="s">
        <v>49</v>
      </c>
      <c r="G24" s="1">
        <v>1009</v>
      </c>
    </row>
    <row r="25" spans="1:7" x14ac:dyDescent="0.25">
      <c r="A25" s="1" t="s">
        <v>14</v>
      </c>
      <c r="B25" s="1" t="s">
        <v>42</v>
      </c>
      <c r="C25" s="1" t="s">
        <v>48</v>
      </c>
      <c r="D25" s="2">
        <v>44337</v>
      </c>
      <c r="E25">
        <v>155315</v>
      </c>
      <c r="F25" s="1" t="s">
        <v>49</v>
      </c>
      <c r="G25" s="1">
        <v>1002</v>
      </c>
    </row>
    <row r="26" spans="1:7" x14ac:dyDescent="0.25">
      <c r="A26" s="1" t="s">
        <v>25</v>
      </c>
      <c r="B26" s="1" t="s">
        <v>42</v>
      </c>
      <c r="C26" s="1" t="s">
        <v>48</v>
      </c>
      <c r="D26" s="2">
        <v>44258</v>
      </c>
      <c r="E26">
        <v>141597</v>
      </c>
      <c r="F26" s="1" t="s">
        <v>49</v>
      </c>
      <c r="G26" s="1">
        <v>1001</v>
      </c>
    </row>
    <row r="27" spans="1:7" x14ac:dyDescent="0.25">
      <c r="A27" s="1" t="s">
        <v>15</v>
      </c>
      <c r="B27" s="1" t="s">
        <v>46</v>
      </c>
      <c r="C27" s="1" t="s">
        <v>56</v>
      </c>
      <c r="D27" s="2">
        <v>44824</v>
      </c>
      <c r="E27">
        <v>66144</v>
      </c>
      <c r="F27" s="1" t="s">
        <v>39</v>
      </c>
      <c r="G27" s="1">
        <v>1010</v>
      </c>
    </row>
    <row r="28" spans="1:7" x14ac:dyDescent="0.25">
      <c r="A28" s="1" t="s">
        <v>15</v>
      </c>
      <c r="B28" s="1" t="s">
        <v>46</v>
      </c>
      <c r="C28" s="1" t="s">
        <v>56</v>
      </c>
      <c r="D28" s="2">
        <v>44824</v>
      </c>
      <c r="E28">
        <v>66144</v>
      </c>
      <c r="F28" s="1" t="s">
        <v>39</v>
      </c>
      <c r="G28" s="1">
        <v>1002</v>
      </c>
    </row>
    <row r="29" spans="1:7" x14ac:dyDescent="0.25">
      <c r="A29" s="1" t="s">
        <v>16</v>
      </c>
      <c r="B29" s="1" t="s">
        <v>34</v>
      </c>
      <c r="C29" s="1" t="s">
        <v>41</v>
      </c>
      <c r="D29" s="2">
        <v>45524</v>
      </c>
      <c r="E29">
        <v>159198</v>
      </c>
      <c r="F29" s="1" t="s">
        <v>49</v>
      </c>
      <c r="G29" s="1">
        <v>1002</v>
      </c>
    </row>
    <row r="30" spans="1:7" x14ac:dyDescent="0.25">
      <c r="A30" s="1" t="s">
        <v>16</v>
      </c>
      <c r="B30" s="1" t="s">
        <v>34</v>
      </c>
      <c r="C30" s="1" t="s">
        <v>41</v>
      </c>
      <c r="D30" s="2">
        <v>45524</v>
      </c>
      <c r="E30">
        <v>159198</v>
      </c>
      <c r="F30" s="1" t="s">
        <v>49</v>
      </c>
      <c r="G30" s="1">
        <v>1002</v>
      </c>
    </row>
    <row r="31" spans="1:7" x14ac:dyDescent="0.25">
      <c r="A31" s="1" t="s">
        <v>17</v>
      </c>
      <c r="B31" s="1" t="s">
        <v>34</v>
      </c>
      <c r="C31" s="1" t="s">
        <v>41</v>
      </c>
      <c r="D31" s="2">
        <v>44839</v>
      </c>
      <c r="E31">
        <v>168807</v>
      </c>
      <c r="F31" s="1" t="s">
        <v>39</v>
      </c>
      <c r="G31" s="1">
        <v>1011</v>
      </c>
    </row>
    <row r="32" spans="1:7" x14ac:dyDescent="0.25">
      <c r="A32" s="1" t="s">
        <v>18</v>
      </c>
      <c r="B32" s="1" t="s">
        <v>42</v>
      </c>
      <c r="C32" s="1" t="s">
        <v>66</v>
      </c>
      <c r="D32" s="2">
        <v>45775</v>
      </c>
      <c r="E32">
        <v>109562</v>
      </c>
      <c r="F32" s="1" t="s">
        <v>39</v>
      </c>
      <c r="G32" s="1">
        <v>1004</v>
      </c>
    </row>
    <row r="33" spans="1:7" x14ac:dyDescent="0.25">
      <c r="A33" s="1" t="s">
        <v>18</v>
      </c>
      <c r="B33" s="1" t="s">
        <v>42</v>
      </c>
      <c r="C33" s="1" t="s">
        <v>66</v>
      </c>
      <c r="D33" s="2">
        <v>45775</v>
      </c>
      <c r="E33">
        <v>109562</v>
      </c>
      <c r="F33" s="1" t="s">
        <v>39</v>
      </c>
      <c r="G33" s="1">
        <v>1004</v>
      </c>
    </row>
    <row r="34" spans="1:7" x14ac:dyDescent="0.25">
      <c r="A34" s="1" t="s">
        <v>19</v>
      </c>
      <c r="B34" s="1" t="s">
        <v>61</v>
      </c>
      <c r="C34" s="1" t="s">
        <v>62</v>
      </c>
      <c r="D34" s="2">
        <v>44766</v>
      </c>
      <c r="E34">
        <v>50164</v>
      </c>
      <c r="F34" s="1" t="s">
        <v>39</v>
      </c>
      <c r="G34" s="1">
        <v>1004</v>
      </c>
    </row>
    <row r="35" spans="1:7" x14ac:dyDescent="0.25">
      <c r="A35" s="1" t="s">
        <v>20</v>
      </c>
      <c r="B35" s="1" t="s">
        <v>51</v>
      </c>
      <c r="C35" s="1" t="s">
        <v>52</v>
      </c>
      <c r="D35" s="2">
        <v>44647</v>
      </c>
      <c r="E35">
        <v>162976</v>
      </c>
      <c r="F35" s="1" t="s">
        <v>39</v>
      </c>
      <c r="G35" s="1">
        <v>1012</v>
      </c>
    </row>
    <row r="36" spans="1:7" x14ac:dyDescent="0.25">
      <c r="A36" s="1" t="s">
        <v>20</v>
      </c>
      <c r="B36" s="1" t="s">
        <v>51</v>
      </c>
      <c r="C36" s="1" t="s">
        <v>52</v>
      </c>
      <c r="D36" s="2">
        <v>44647</v>
      </c>
      <c r="E36">
        <v>162976</v>
      </c>
      <c r="F36" s="1" t="s">
        <v>39</v>
      </c>
      <c r="G36" s="1">
        <v>1005</v>
      </c>
    </row>
    <row r="37" spans="1:7" x14ac:dyDescent="0.25">
      <c r="A37" s="1" t="s">
        <v>23</v>
      </c>
      <c r="B37" s="1" t="s">
        <v>51</v>
      </c>
      <c r="C37" s="1" t="s">
        <v>52</v>
      </c>
      <c r="D37" s="2">
        <v>45266</v>
      </c>
      <c r="E37">
        <v>54546</v>
      </c>
      <c r="F37" s="1" t="s">
        <v>36</v>
      </c>
      <c r="G37" s="1">
        <v>1005</v>
      </c>
    </row>
    <row r="38" spans="1:7" x14ac:dyDescent="0.25">
      <c r="A38" s="1" t="s">
        <v>24</v>
      </c>
      <c r="B38" s="1" t="s">
        <v>42</v>
      </c>
      <c r="C38" s="1" t="s">
        <v>48</v>
      </c>
      <c r="D38" s="2">
        <v>44876</v>
      </c>
      <c r="E38">
        <v>180136</v>
      </c>
      <c r="F38" s="1" t="s">
        <v>39</v>
      </c>
      <c r="G38" s="1">
        <v>1003</v>
      </c>
    </row>
    <row r="39" spans="1:7" x14ac:dyDescent="0.25">
      <c r="A39" s="1" t="s">
        <v>4</v>
      </c>
      <c r="B39" s="1" t="s">
        <v>51</v>
      </c>
      <c r="C39" s="1" t="s">
        <v>67</v>
      </c>
      <c r="D39" s="2">
        <v>45294</v>
      </c>
      <c r="E39">
        <v>64454</v>
      </c>
      <c r="F39" s="1" t="s">
        <v>36</v>
      </c>
      <c r="G39" s="1">
        <v>1001</v>
      </c>
    </row>
    <row r="40" spans="1:7" x14ac:dyDescent="0.25">
      <c r="A40" s="1" t="s">
        <v>22</v>
      </c>
      <c r="B40" s="1" t="s">
        <v>42</v>
      </c>
      <c r="C40" s="1" t="s">
        <v>43</v>
      </c>
      <c r="D40" s="2">
        <v>45782</v>
      </c>
      <c r="E40">
        <v>100788</v>
      </c>
      <c r="F40" s="1" t="s">
        <v>39</v>
      </c>
      <c r="G40" s="1">
        <v>1001</v>
      </c>
    </row>
    <row r="41" spans="1:7" x14ac:dyDescent="0.25">
      <c r="A41" s="1" t="s">
        <v>26</v>
      </c>
      <c r="B41" s="1" t="s">
        <v>51</v>
      </c>
      <c r="C41" s="1" t="s">
        <v>67</v>
      </c>
      <c r="D41" s="2">
        <v>44623</v>
      </c>
      <c r="E41">
        <v>121229</v>
      </c>
      <c r="F41" s="1" t="s">
        <v>36</v>
      </c>
      <c r="G41" s="1">
        <v>1009</v>
      </c>
    </row>
    <row r="42" spans="1:7" x14ac:dyDescent="0.25">
      <c r="A42" s="1" t="s">
        <v>26</v>
      </c>
      <c r="B42" s="1" t="s">
        <v>51</v>
      </c>
      <c r="C42" s="1" t="s">
        <v>67</v>
      </c>
      <c r="D42" s="2">
        <v>44623</v>
      </c>
      <c r="E42">
        <v>121229</v>
      </c>
      <c r="F42" s="1" t="s">
        <v>36</v>
      </c>
      <c r="G42" s="1">
        <v>1002</v>
      </c>
    </row>
    <row r="43" spans="1:7" x14ac:dyDescent="0.25">
      <c r="A43" s="1" t="s">
        <v>9</v>
      </c>
      <c r="B43" s="1" t="s">
        <v>44</v>
      </c>
      <c r="C43" s="1" t="s">
        <v>45</v>
      </c>
      <c r="D43" s="2">
        <v>44503</v>
      </c>
      <c r="E43">
        <v>82323</v>
      </c>
      <c r="F43" s="1" t="s">
        <v>36</v>
      </c>
      <c r="G43" s="1">
        <v>1010</v>
      </c>
    </row>
    <row r="44" spans="1:7" x14ac:dyDescent="0.25">
      <c r="A44" s="1" t="s">
        <v>7</v>
      </c>
      <c r="B44" s="1" t="s">
        <v>44</v>
      </c>
      <c r="C44" s="1" t="s">
        <v>45</v>
      </c>
      <c r="D44" s="2">
        <v>45015</v>
      </c>
      <c r="E44">
        <v>150106</v>
      </c>
      <c r="F44" s="1" t="s">
        <v>36</v>
      </c>
      <c r="G44" s="1">
        <v>1007</v>
      </c>
    </row>
    <row r="45" spans="1:7" x14ac:dyDescent="0.25">
      <c r="A45" s="1" t="s">
        <v>7</v>
      </c>
      <c r="B45" s="1" t="s">
        <v>44</v>
      </c>
      <c r="C45" s="1" t="s">
        <v>45</v>
      </c>
      <c r="D45" s="2">
        <v>45015</v>
      </c>
      <c r="E45">
        <v>150106</v>
      </c>
      <c r="F45" s="1" t="s">
        <v>36</v>
      </c>
      <c r="G45" s="1">
        <v>1010</v>
      </c>
    </row>
    <row r="46" spans="1:7" x14ac:dyDescent="0.25">
      <c r="A46" s="1" t="s">
        <v>8</v>
      </c>
      <c r="B46" s="1" t="s">
        <v>46</v>
      </c>
      <c r="C46" s="1" t="s">
        <v>47</v>
      </c>
      <c r="D46" s="2">
        <v>45292</v>
      </c>
      <c r="E46">
        <v>125796</v>
      </c>
      <c r="F46" s="1" t="s">
        <v>39</v>
      </c>
      <c r="G46" s="1">
        <v>1007</v>
      </c>
    </row>
    <row r="47" spans="1:7" x14ac:dyDescent="0.25">
      <c r="A47" s="1" t="s">
        <v>27</v>
      </c>
      <c r="B47" s="1" t="s">
        <v>27</v>
      </c>
      <c r="C47" s="1" t="s">
        <v>27</v>
      </c>
      <c r="D47" s="2"/>
      <c r="F47" s="1" t="s">
        <v>27</v>
      </c>
      <c r="G47" s="1"/>
    </row>
    <row r="48" spans="1:7" x14ac:dyDescent="0.25">
      <c r="A48" s="1" t="s">
        <v>33</v>
      </c>
      <c r="B48" s="1" t="s">
        <v>34</v>
      </c>
      <c r="C48" s="1" t="s">
        <v>35</v>
      </c>
      <c r="D48" s="2">
        <v>44937</v>
      </c>
      <c r="E48">
        <v>134283</v>
      </c>
      <c r="F48" s="1" t="s">
        <v>36</v>
      </c>
      <c r="G48" s="1"/>
    </row>
    <row r="49" spans="1:7" x14ac:dyDescent="0.25">
      <c r="A49" s="1" t="s">
        <v>37</v>
      </c>
      <c r="B49" s="1" t="s">
        <v>34</v>
      </c>
      <c r="C49" s="1" t="s">
        <v>38</v>
      </c>
      <c r="D49" s="2">
        <v>44250</v>
      </c>
      <c r="E49">
        <v>107618</v>
      </c>
      <c r="F49" s="1" t="s">
        <v>39</v>
      </c>
      <c r="G49" s="1"/>
    </row>
    <row r="50" spans="1:7" x14ac:dyDescent="0.25">
      <c r="A50" s="1" t="s">
        <v>40</v>
      </c>
      <c r="B50" s="1" t="s">
        <v>34</v>
      </c>
      <c r="C50" s="1" t="s">
        <v>41</v>
      </c>
      <c r="D50" s="2">
        <v>45543</v>
      </c>
      <c r="E50">
        <v>193154</v>
      </c>
      <c r="F50" s="1" t="s">
        <v>39</v>
      </c>
      <c r="G50" s="1"/>
    </row>
    <row r="51" spans="1:7" x14ac:dyDescent="0.25">
      <c r="A51" s="1" t="s">
        <v>50</v>
      </c>
      <c r="B51" s="1" t="s">
        <v>51</v>
      </c>
      <c r="C51" s="1" t="s">
        <v>52</v>
      </c>
      <c r="D51" s="2">
        <v>45831</v>
      </c>
      <c r="E51">
        <v>132376</v>
      </c>
      <c r="F51" s="1" t="s">
        <v>49</v>
      </c>
      <c r="G51" s="1"/>
    </row>
    <row r="52" spans="1:7" x14ac:dyDescent="0.25">
      <c r="A52" s="1" t="s">
        <v>53</v>
      </c>
      <c r="B52" s="1" t="s">
        <v>42</v>
      </c>
      <c r="C52" s="1" t="s">
        <v>43</v>
      </c>
      <c r="D52" s="2">
        <v>45239</v>
      </c>
      <c r="E52">
        <v>178637</v>
      </c>
      <c r="F52" s="1" t="s">
        <v>39</v>
      </c>
      <c r="G52" s="1"/>
    </row>
    <row r="53" spans="1:7" x14ac:dyDescent="0.25">
      <c r="A53" s="1" t="s">
        <v>55</v>
      </c>
      <c r="B53" s="1" t="s">
        <v>34</v>
      </c>
      <c r="C53" s="1" t="s">
        <v>35</v>
      </c>
      <c r="D53" s="2">
        <v>44713</v>
      </c>
      <c r="E53">
        <v>96843</v>
      </c>
      <c r="F53" s="1" t="s">
        <v>49</v>
      </c>
      <c r="G53" s="1"/>
    </row>
    <row r="54" spans="1:7" x14ac:dyDescent="0.25">
      <c r="A54" s="1" t="s">
        <v>57</v>
      </c>
      <c r="B54" s="1" t="s">
        <v>46</v>
      </c>
      <c r="C54" s="1" t="s">
        <v>47</v>
      </c>
      <c r="D54" s="2">
        <v>44363</v>
      </c>
      <c r="E54">
        <v>174856</v>
      </c>
      <c r="F54" s="1" t="s">
        <v>36</v>
      </c>
      <c r="G54" s="1"/>
    </row>
    <row r="55" spans="1:7" x14ac:dyDescent="0.25">
      <c r="A55" s="1" t="s">
        <v>58</v>
      </c>
      <c r="B55" s="1" t="s">
        <v>44</v>
      </c>
      <c r="C55" s="1" t="s">
        <v>59</v>
      </c>
      <c r="D55" s="2">
        <v>44429</v>
      </c>
      <c r="E55">
        <v>73757</v>
      </c>
      <c r="F55" s="1" t="s">
        <v>49</v>
      </c>
      <c r="G55" s="1"/>
    </row>
    <row r="56" spans="1:7" x14ac:dyDescent="0.25">
      <c r="A56" s="1" t="s">
        <v>60</v>
      </c>
      <c r="B56" s="1" t="s">
        <v>46</v>
      </c>
      <c r="C56" s="1" t="s">
        <v>47</v>
      </c>
      <c r="D56" s="2">
        <v>45297</v>
      </c>
      <c r="E56">
        <v>7402</v>
      </c>
      <c r="F56" s="1" t="s">
        <v>39</v>
      </c>
      <c r="G56" s="1"/>
    </row>
    <row r="57" spans="1:7" x14ac:dyDescent="0.25">
      <c r="A57" s="1" t="s">
        <v>63</v>
      </c>
      <c r="B57" s="1" t="s">
        <v>44</v>
      </c>
      <c r="C57" s="1" t="s">
        <v>45</v>
      </c>
      <c r="D57" s="2">
        <v>45249</v>
      </c>
      <c r="E57">
        <v>133534</v>
      </c>
      <c r="F57" s="1" t="s">
        <v>49</v>
      </c>
      <c r="G57" s="1"/>
    </row>
    <row r="58" spans="1:7" x14ac:dyDescent="0.25">
      <c r="A58" s="1" t="s">
        <v>65</v>
      </c>
      <c r="B58" s="1" t="s">
        <v>42</v>
      </c>
      <c r="C58" s="1" t="s">
        <v>43</v>
      </c>
      <c r="D58" s="2">
        <v>45219</v>
      </c>
      <c r="E58">
        <v>140391</v>
      </c>
      <c r="F58" s="1" t="s">
        <v>49</v>
      </c>
      <c r="G58" s="1"/>
    </row>
    <row r="59" spans="1:7" x14ac:dyDescent="0.25">
      <c r="A59" s="1" t="s">
        <v>68</v>
      </c>
      <c r="B59" s="1" t="s">
        <v>46</v>
      </c>
      <c r="C59" s="1" t="s">
        <v>47</v>
      </c>
      <c r="D59" s="2">
        <v>45552</v>
      </c>
      <c r="E59">
        <v>174667</v>
      </c>
      <c r="F59" s="1" t="s">
        <v>49</v>
      </c>
      <c r="G59" s="1"/>
    </row>
  </sheetData>
  <pageMargins left="0.7" right="0.7" top="0.78740157499999996" bottom="0.78740157499999996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39C85-D453-4335-B3CF-31EE48F8EEB0}">
  <dimension ref="A3:A4"/>
  <sheetViews>
    <sheetView workbookViewId="0">
      <selection activeCell="A4" sqref="A4"/>
    </sheetView>
  </sheetViews>
  <sheetFormatPr baseColWidth="10" defaultRowHeight="14.3" x14ac:dyDescent="0.25"/>
  <cols>
    <col min="1" max="1" width="25.375" bestFit="1" customWidth="1"/>
  </cols>
  <sheetData>
    <row r="3" spans="1:1" x14ac:dyDescent="0.25">
      <c r="A3" t="s">
        <v>88</v>
      </c>
    </row>
    <row r="4" spans="1:1" x14ac:dyDescent="0.25">
      <c r="A4" s="1">
        <v>6678200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33280-C3B8-46E0-A08C-4E6046A90D64}">
  <dimension ref="A3:C20"/>
  <sheetViews>
    <sheetView workbookViewId="0">
      <selection activeCell="C6" sqref="C6"/>
    </sheetView>
  </sheetViews>
  <sheetFormatPr baseColWidth="10" defaultRowHeight="14.3" x14ac:dyDescent="0.25"/>
  <sheetData>
    <row r="3" spans="1:3" x14ac:dyDescent="0.25">
      <c r="A3" s="3"/>
      <c r="B3" s="4"/>
      <c r="C3" s="5"/>
    </row>
    <row r="4" spans="1:3" x14ac:dyDescent="0.25">
      <c r="A4" s="6"/>
      <c r="B4" s="7"/>
      <c r="C4" s="8"/>
    </row>
    <row r="5" spans="1:3" x14ac:dyDescent="0.25">
      <c r="A5" s="6"/>
      <c r="B5" s="7"/>
      <c r="C5" s="8"/>
    </row>
    <row r="6" spans="1:3" x14ac:dyDescent="0.25">
      <c r="A6" s="6"/>
      <c r="B6" s="7"/>
      <c r="C6" s="8"/>
    </row>
    <row r="7" spans="1:3" x14ac:dyDescent="0.25">
      <c r="A7" s="6"/>
      <c r="B7" s="7"/>
      <c r="C7" s="8"/>
    </row>
    <row r="8" spans="1:3" x14ac:dyDescent="0.25">
      <c r="A8" s="6"/>
      <c r="B8" s="7"/>
      <c r="C8" s="8"/>
    </row>
    <row r="9" spans="1:3" x14ac:dyDescent="0.25">
      <c r="A9" s="6"/>
      <c r="B9" s="7"/>
      <c r="C9" s="8"/>
    </row>
    <row r="10" spans="1:3" x14ac:dyDescent="0.25">
      <c r="A10" s="6"/>
      <c r="B10" s="7"/>
      <c r="C10" s="8"/>
    </row>
    <row r="11" spans="1:3" x14ac:dyDescent="0.25">
      <c r="A11" s="6"/>
      <c r="B11" s="7"/>
      <c r="C11" s="8"/>
    </row>
    <row r="12" spans="1:3" x14ac:dyDescent="0.25">
      <c r="A12" s="6"/>
      <c r="B12" s="7"/>
      <c r="C12" s="8"/>
    </row>
    <row r="13" spans="1:3" x14ac:dyDescent="0.25">
      <c r="A13" s="6"/>
      <c r="B13" s="7"/>
      <c r="C13" s="8"/>
    </row>
    <row r="14" spans="1:3" x14ac:dyDescent="0.25">
      <c r="A14" s="6"/>
      <c r="B14" s="7"/>
      <c r="C14" s="8"/>
    </row>
    <row r="15" spans="1:3" x14ac:dyDescent="0.25">
      <c r="A15" s="6"/>
      <c r="B15" s="7"/>
      <c r="C15" s="8"/>
    </row>
    <row r="16" spans="1:3" x14ac:dyDescent="0.25">
      <c r="A16" s="6"/>
      <c r="B16" s="7"/>
      <c r="C16" s="8"/>
    </row>
    <row r="17" spans="1:3" x14ac:dyDescent="0.25">
      <c r="A17" s="6"/>
      <c r="B17" s="7"/>
      <c r="C17" s="8"/>
    </row>
    <row r="18" spans="1:3" x14ac:dyDescent="0.25">
      <c r="A18" s="6"/>
      <c r="B18" s="7"/>
      <c r="C18" s="8"/>
    </row>
    <row r="19" spans="1:3" x14ac:dyDescent="0.25">
      <c r="A19" s="6"/>
      <c r="B19" s="7"/>
      <c r="C19" s="8"/>
    </row>
    <row r="20" spans="1:3" x14ac:dyDescent="0.25">
      <c r="A20" s="9"/>
      <c r="B20" s="10"/>
      <c r="C20" s="11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F1E7EB-24DE-4FFE-B0B4-E25501FADD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Tabelle5</vt:lpstr>
      <vt:lpstr>Tabelle8</vt:lpstr>
      <vt:lpstr>Ausleihen</vt:lpstr>
      <vt:lpstr>Tabelle6</vt:lpstr>
      <vt:lpstr>Tabelle7</vt:lpstr>
      <vt:lpstr>Geraete</vt:lpstr>
      <vt:lpstr>Mitarbeiter</vt:lpstr>
      <vt:lpstr>Tabelle4</vt:lpstr>
      <vt:lpstr>Tabelle3</vt:lpstr>
      <vt:lpstr>Geraete_Mitarbeiter_ID</vt:lpstr>
      <vt:lpstr>Tabelle2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Barreda Morales</dc:creator>
  <cp:lastModifiedBy>Arturo Barreda</cp:lastModifiedBy>
  <dcterms:created xsi:type="dcterms:W3CDTF">2015-06-05T18:19:34Z</dcterms:created>
  <dcterms:modified xsi:type="dcterms:W3CDTF">2025-11-08T15:03:50Z</dcterms:modified>
</cp:coreProperties>
</file>